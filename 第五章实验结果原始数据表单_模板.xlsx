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df893e56f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填写说明" sheetId="1" r:id="Rc061634aab3a41be"/>
    <x:sheet xmlns:r="http://schemas.openxmlformats.org/officeDocument/2006/relationships" name="1_主结果总表" sheetId="2" r:id="R15b32b3becf14a16"/>
    <x:sheet xmlns:r="http://schemas.openxmlformats.org/officeDocument/2006/relationships" name="2_关系级结果" sheetId="3" r:id="Rdb77e3f7fbe84a5a"/>
    <x:sheet xmlns:r="http://schemas.openxmlformats.org/officeDocument/2006/relationships" name="3_结构与可控性" sheetId="4" r:id="R6f10af66eff44866"/>
    <x:sheet xmlns:r="http://schemas.openxmlformats.org/officeDocument/2006/relationships" name="4_稳定性与成本" sheetId="5" r:id="R138ba2d8ebfd4986"/>
    <x:sheet xmlns:r="http://schemas.openxmlformats.org/officeDocument/2006/relationships" name="5_消融实验" sheetId="6" r:id="R4f792f60f76a4d4b"/>
    <x:sheet xmlns:r="http://schemas.openxmlformats.org/officeDocument/2006/relationships" name="6_多候选与权重敏感性" sheetId="7" r:id="Rcf570341856242ae"/>
    <x:sheet xmlns:r="http://schemas.openxmlformats.org/officeDocument/2006/relationships" name="7_案例分析" sheetId="8" r:id="R073067c68e6b4c38"/>
    <x:sheet xmlns:r="http://schemas.openxmlformats.org/officeDocument/2006/relationships" name="8_配置记录" sheetId="9" r:id="R892b987ce63541df"/>
    <x:sheet xmlns:r="http://schemas.openxmlformats.org/officeDocument/2006/relationships" name="lists" sheetId="10" r:id="R8f8ce18fca774daf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F5" authorId="0">
      <x:text>
        <x:r>
          <x:t>真正例三元组数；建议按一对一匹配约束统计。</x:t>
        </x:r>
      </x:text>
    </x:comment>
    <x:comment ref="G5" authorId="0">
      <x:text>
        <x:r>
          <x:t>假正例三元组数。</x:t>
        </x:r>
      </x:text>
    </x:comment>
    <x:comment ref="H5" authorId="0">
      <x:text>
        <x:r>
          <x:t>假负例三元组数。</x:t>
        </x:r>
      </x:text>
    </x:comment>
    <x:comment ref="L5" authorId="0">
      <x:text>
        <x:r>
          <x:t>输出为合法 JSON 且能被自动评测脚本解析的样本数。</x:t>
        </x:r>
      </x:text>
    </x:comment>
    <x:comment ref="N5" authorId="0">
      <x:text>
        <x:r>
          <x:t>样本内所有三元组均满足关系集合与本体 Schema 约束的样本数。</x:t>
        </x:r>
      </x:text>
    </x:comment>
    <x:comment ref="P5" authorId="0">
      <x:text>
        <x:r>
          <x:t>与原文事实脱节、原文不存在或不成立的三元组数。</x:t>
        </x:r>
      </x:text>
    </x:comment>
    <x:comment ref="S5" authorId="0">
      <x:text>
        <x:r>
          <x:t>在同一固定样本集上完全相同参数重复运行 3 次，结果完全一致的样本数。</x:t>
        </x:r>
      </x:text>
    </x:comment>
    <x:comment ref="W5" authorId="0">
      <x:text>
        <x:r>
          <x:t>建议记录实际运行中观察到的最大显存占用。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C5" authorId="0">
      <x:text>
        <x:r>
          <x:t>来自第5章表5.2的全量数据集统计，不是测试集统计。</x:t>
        </x:r>
      </x:text>
    </x:comment>
    <x:comment ref="D5" authorId="0">
      <x:text>
        <x:r>
          <x:t>请填测试集该关系的 gold 数量。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D5" authorId="0">
      <x:text>
        <x:r>
          <x:t>输出可被 JSON 解析并进入后续处理流程的样本数。</x:t>
        </x:r>
      </x:text>
    </x:comment>
    <x:comment ref="F5" authorId="0">
      <x:text>
        <x:r>
          <x:t>预测关系不在预定义 11 类关系集合中的三元组数。</x:t>
        </x:r>
      </x:text>
    </x:comment>
    <x:comment ref="G5" authorId="0">
      <x:text>
        <x:r>
          <x:t>指 (type(head), relation, type(tail)) 不满足本体允许集合 Ω 的三元组数。</x:t>
        </x:r>
      </x:text>
    </x:comment>
    <x:comment ref="L5" authorId="0">
      <x:text>
        <x:r>
          <x:t>样本级：样本内所有三元组均满足关系集合与本体连接约束。</x:t>
        </x:r>
      </x:text>
    </x:comment>
  </x:commentList>
</x:comments>
</file>

<file path=xl/comments4.xml><?xml version="1.0" encoding="utf-8"?>
<x:comments xmlns:x="http://schemas.openxmlformats.org/spreadsheetml/2006/main">
  <x:authors>
    <x:author>OpenAI</x:author>
  </x:authors>
  <x:commentList>
    <x:comment ref="C5" authorId="0">
      <x:text>
        <x:r>
          <x:t>3 次运行得到的规范化三元组集合完全一致的样本数。</x:t>
        </x:r>
      </x:text>
    </x:comment>
    <x:comment ref="I12" authorId="0">
      <x:text>
        <x:r>
          <x:t>多候选生成阶段的原始候选个数；Base/QLoRA-only 通常可填 1。</x:t>
        </x:r>
      </x:text>
    </x:comment>
    <x:comment ref="J12" authorId="0">
      <x:text>
        <x:r>
          <x:t>施加本体约束与异常过滤后保留下来的平均候选数。</x:t>
        </x:r>
      </x:text>
    </x:comment>
    <x:comment ref="K12" authorId="0">
      <x:text>
        <x:r>
          <x:t>仅完整方法需要填写；用于衡量多候选评分带来的额外开销。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%"/>
    <x:numFmt numFmtId="165" formatCode="0.0"/>
    <x:numFmt numFmtId="166" formatCode="0.000"/>
  </x:numFmts>
  <x:fonts count="10">
    <x:font>
      <x:sz val="11"/>
      <x:color theme="1"/>
      <x:name val="Calibri"/>
      <x:family val="2"/>
      <x:scheme val="minor"/>
    </x:font>
    <x:font>
      <x:b/>
      <x:sz val="14"/>
      <x:color rgb="00FFFFFF"/>
      <x:name val="Microsoft YaHei"/>
    </x:font>
    <x:font>
      <x:i/>
      <x:sz val="9"/>
      <x:color rgb="001F1F1F"/>
      <x:name val="Microsoft YaHei"/>
    </x:font>
    <x:font>
      <x:b/>
      <x:sz val="11"/>
      <x:color rgb="001F1F1F"/>
      <x:name val="Microsoft YaHei"/>
    </x:font>
    <x:font>
      <x:b/>
      <x:sz val="10"/>
      <x:color rgb="001F1F1F"/>
      <x:name val="Microsoft YaHei"/>
    </x:font>
    <x:font>
      <x:sz val="10"/>
      <x:color rgb="001F1F1F"/>
      <x:name val="Microsoft YaHei"/>
    </x:font>
    <x:font>
      <x:b/>
      <x:sz val="10"/>
      <x:color rgb="00FFFFFF"/>
      <x:name val="Microsoft YaHei"/>
    </x:font>
    <x:font>
      <x:sz val="10"/>
      <x:color rgb="00666666"/>
      <x:name val="Microsoft YaHei"/>
    </x:font>
    <x:font>
      <x:sz val="10"/>
      <x:color rgb="000000FF"/>
      <x:name val="Microsoft YaHei"/>
    </x:font>
    <x:font>
      <x:sz val="10"/>
      <x:color rgb="00000000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FFFFF"/>
      </x:patternFill>
    </x:fill>
    <x:fill>
      <x:patternFill patternType="solid">
        <x:fgColor rgb="00D9EAF7"/>
      </x:patternFill>
    </x:fill>
    <x:fill>
      <x:patternFill patternType="solid">
        <x:fgColor rgb="005B9BD5"/>
      </x:patternFill>
    </x:fill>
    <x:fill>
      <x:patternFill patternType="solid">
        <x:fgColor rgb="00E7E6E6"/>
      </x:patternFill>
    </x:fill>
    <x:fill>
      <x:patternFill patternType="solid">
        <x:fgColor rgb="00EAF2FF"/>
      </x:patternFill>
    </x:fill>
    <x:fill>
      <x:patternFill patternType="solid">
        <x:fgColor rgb="00FFF2CC"/>
      </x:patternFill>
    </x:fill>
    <x:fill>
      <x:patternFill patternType="solid">
        <x:fgColor rgb="00FCE4D6"/>
      </x:patternFill>
    </x:fill>
  </x:fills>
  <x:borders count="7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FBFBF"/>
      </x:top>
      <x:bottom/>
      <x:diagonal/>
    </x:border>
    <x:border>
      <x:left/>
      <x:right style="thin">
        <x:color rgb="00BFBFBF"/>
      </x:right>
      <x:top style="thin">
        <x:color rgb="00BFBFBF"/>
      </x:top>
      <x:bottom/>
      <x:diagonal/>
    </x:border>
    <x:border>
      <x:left/>
      <x:right/>
      <x:top style="thin">
        <x:color rgb="00BFBFBF"/>
      </x:top>
      <x:bottom style="thin">
        <x:color rgb="00BFBFBF"/>
      </x:bottom>
      <x:diagonal/>
    </x:border>
    <x:border>
      <x:left/>
      <x:right style="thin">
        <x:color rgb="00BFBFBF"/>
      </x:right>
      <x:top style="thin">
        <x:color rgb="00BFBFBF"/>
      </x:top>
      <x:bottom style="thin">
        <x:color rgb="00BFBFBF"/>
      </x:bottom>
      <x:diagonal/>
    </x:border>
    <x:border>
      <x:left style="thin">
        <x:color rgb="00BFBFBF"/>
      </x:left>
      <x:right style="thin">
        <x:color rgb="00BFBFBF"/>
      </x:right>
      <x:top style="medium">
        <x:color rgb="005B9BD5"/>
      </x:top>
      <x:bottom style="medium">
        <x:color rgb="005B9BD5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2" borderId="0" xfId="0" applyAlignment="1">
      <x:alignment horizontal="left" vertical="center" wrapText="1"/>
    </x:xf>
    <x:xf numFmtId="0" fontId="2" fillId="3" borderId="0" xfId="0" applyAlignment="1">
      <x:alignment horizontal="left" vertical="center" wrapText="1"/>
    </x:xf>
    <x:xf numFmtId="0" fontId="3" fillId="4" borderId="0" xfId="0" applyAlignment="1">
      <x:alignment horizontal="left" vertical="center" wrapText="1"/>
    </x:xf>
    <x:xf numFmtId="0" fontId="4" fillId="0" borderId="1" xfId="0" applyAlignment="1">
      <x:alignment horizontal="center" vertical="center" wrapText="1"/>
    </x:xf>
    <x:xf numFmtId="0" fontId="5" fillId="0" borderId="1" xfId="0" applyAlignment="1">
      <x:alignment horizontal="left" vertical="center" wrapText="1"/>
    </x:xf>
    <x:xf numFmtId="0" fontId="0" fillId="0" borderId="4" xfId="0"/>
    <x:xf numFmtId="0" fontId="0" fillId="0" borderId="5" xfId="0"/>
    <x:xf numFmtId="0" fontId="6" fillId="5" borderId="6" xfId="0" applyAlignment="1">
      <x:alignment horizontal="center" vertical="center" wrapText="1"/>
    </x:xf>
    <x:xf numFmtId="0" fontId="7" fillId="6" borderId="1" xfId="0" applyAlignment="1">
      <x:alignment horizontal="center" vertical="center" wrapText="1"/>
    </x:xf>
    <x:xf numFmtId="0" fontId="8" fillId="7" borderId="1" xfId="0" applyAlignment="1">
      <x:alignment horizontal="center" vertical="center" wrapText="1"/>
    </x:xf>
    <x:xf numFmtId="0" fontId="5" fillId="3" borderId="1" xfId="0" applyAlignment="1">
      <x:alignment horizontal="left" vertical="center" wrapText="1"/>
    </x:xf>
    <x:xf numFmtId="0" fontId="8" fillId="7" borderId="1" xfId="0" applyAlignment="1">
      <x:alignment horizontal="left" vertical="center" wrapText="1"/>
    </x:xf>
    <x:xf numFmtId="0" fontId="5" fillId="3" borderId="1" xfId="0" applyAlignment="1">
      <x:alignment horizontal="center" vertical="center" wrapText="1"/>
    </x:xf>
    <x:xf numFmtId="0" fontId="9" fillId="3" borderId="1" xfId="0" applyAlignment="1">
      <x:alignment horizontal="center" vertical="center" wrapText="1"/>
    </x:xf>
    <x:xf numFmtId="0" fontId="8" fillId="8" borderId="1" xfId="0" applyAlignment="1">
      <x:alignment horizontal="center" vertical="center" wrapText="1"/>
    </x:xf>
    <x:xf numFmtId="0" fontId="5" fillId="9" borderId="1" xfId="0" applyAlignment="1">
      <x:alignment horizontal="center" vertical="center" wrapText="1"/>
    </x:xf>
    <x:xf numFmtId="0" fontId="7" fillId="6" borderId="1" xfId="0" applyAlignment="1">
      <x:alignment horizontal="left" vertical="center" wrapText="1"/>
    </x:xf>
    <x:xf numFmtId="164" fontId="9" fillId="3" borderId="1" xfId="0" applyAlignment="1">
      <x:alignment horizontal="center" vertical="center" wrapText="1"/>
    </x:xf>
    <x:xf numFmtId="165" fontId="8" fillId="7" borderId="1" xfId="0" applyAlignment="1">
      <x:alignment horizontal="center" vertical="center" wrapText="1"/>
    </x:xf>
    <x:xf numFmtId="164" fontId="8" fillId="7" borderId="1" xfId="0" applyAlignment="1">
      <x:alignment horizontal="center" vertical="center" wrapText="1"/>
    </x:xf>
    <x:xf numFmtId="166" fontId="9" fillId="3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704943e0b4273" /><Relationship Type="http://schemas.openxmlformats.org/officeDocument/2006/relationships/theme" Target="/xl/theme/theme1.xml" Id="Ra650a1a359334e32" /><Relationship Type="http://schemas.openxmlformats.org/officeDocument/2006/relationships/sharedStrings" Target="/xl/sharedStrings.xml" Id="R822fb518753a423f" /><Relationship Type="http://schemas.openxmlformats.org/officeDocument/2006/relationships/worksheet" Target="/xl/worksheets/sheet1.xml" Id="Rc061634aab3a41be" /><Relationship Type="http://schemas.openxmlformats.org/officeDocument/2006/relationships/worksheet" Target="/xl/worksheets/sheet2.xml" Id="R15b32b3becf14a16" /><Relationship Type="http://schemas.openxmlformats.org/officeDocument/2006/relationships/worksheet" Target="/xl/worksheets/sheet3.xml" Id="Rdb77e3f7fbe84a5a" /><Relationship Type="http://schemas.openxmlformats.org/officeDocument/2006/relationships/worksheet" Target="/xl/worksheets/sheet4.xml" Id="R6f10af66eff44866" /><Relationship Type="http://schemas.openxmlformats.org/officeDocument/2006/relationships/worksheet" Target="/xl/worksheets/sheet5.xml" Id="R138ba2d8ebfd4986" /><Relationship Type="http://schemas.openxmlformats.org/officeDocument/2006/relationships/worksheet" Target="/xl/worksheets/sheet6.xml" Id="R4f792f60f76a4d4b" /><Relationship Type="http://schemas.openxmlformats.org/officeDocument/2006/relationships/worksheet" Target="/xl/worksheets/sheet7.xml" Id="Rcf570341856242ae" /><Relationship Type="http://schemas.openxmlformats.org/officeDocument/2006/relationships/worksheet" Target="/xl/worksheets/sheet8.xml" Id="R073067c68e6b4c38" /><Relationship Type="http://schemas.openxmlformats.org/officeDocument/2006/relationships/worksheet" Target="/xl/worksheets/sheet9.xml" Id="R892b987ce63541df" /><Relationship Type="http://schemas.openxmlformats.org/officeDocument/2006/relationships/worksheet" Target="/xl/worksheets/sheet10.xml" Id="R8f8ce18fca774daf" /><Relationship Type="http://schemas.microsoft.com/office/2017/10/relationships/person" Target="/xl/persons/person.xml" Id="Rec8f027deaa54547" /></Relationships>
</file>

<file path=xl/persons/person.xml><?xml version="1.0" encoding="utf-8"?>
<xltc:personList xmlns:xltc="http://schemas.microsoft.com/office/spreadsheetml/2018/threadedcomments">
  <xltc:person displayName="OpenAI" id="{DEC5FDAF-73B8-7381-DB47-D8EDDAAC2C9C}"/>
  <xltc:person displayName="OpenAI" id="{9E78E6DF-EBBA-509C-DBDE-E8A164FF0EA9}"/>
  <xltc:person displayName="OpenAI" id="{88B3073F-4288-94FA-AD52-C4A8C1BDC167}"/>
  <xltc:person displayName="OpenAI" id="{4F76CDB4-3730-6514-834A-67118BC8D122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6b77ea917fb4a83" /><Relationship Type="http://schemas.openxmlformats.org/officeDocument/2006/relationships/vmlDrawing" Target="/xl/drawings/vmldrawing.vml" Id="Rce2ab752744245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66b6e28ca69445ee" /><Relationship Type="http://schemas.openxmlformats.org/officeDocument/2006/relationships/vmlDrawing" Target="/xl/drawings/vmldrawing2.vml" Id="R9934313f9bca48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1d3106347389498e" /><Relationship Type="http://schemas.openxmlformats.org/officeDocument/2006/relationships/vmlDrawing" Target="/xl/drawings/vmldrawing3.vml" Id="Rf72711ac5dc348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f19a0f441d1b4c3f" /><Relationship Type="http://schemas.openxmlformats.org/officeDocument/2006/relationships/vmlDrawing" Target="/xl/drawings/vmldrawing4.vml" Id="R384852c293b54a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6" customWidth="1"/>
    <x:col min="3" max="3" width="20" customWidth="1"/>
    <x:col min="4" max="4" width="16" customWidth="1"/>
    <x:col min="5" max="5" width="55" customWidth="1"/>
    <x:col min="6" max="6" width="8" customWidth="1"/>
    <x:col min="7" max="7" width="8" customWidth="1"/>
    <x:col min="8" max="8" width="8" customWidth="1"/>
    <x:col min="9" max="9" width="8" customWidth="1"/>
    <x:col min="10" max="10" width="8" customWidth="1"/>
  </x:cols>
  <x:sheetData>
    <x:row r="1" ht="24" customHeight="1">
      <x:c r="A1" s="1" t="inlineStr">
        <x:is>
          <x:t xml:space="preserve">第五章“实验结果原始数据表单”填写模板</x:t>
        </x:is>
      </x:c>
    </x:row>
    <x:row r="2">
      <x:c r="A2" s="2" t="inlineStr">
        <x:is>
          <x:t xml:space="preserve">用途：本模板专门服务于第5章“面向轻量化本地部署的参数高效本体约束知识抽取方法”的 5.3.3“实验结果与分析”撰写。蓝字/浅蓝底为建议填写区域，黑字白底为公式自动计算，灰底为论文中已给出的参考常量。</x:t>
        </x:is>
      </x:c>
    </x:row>
    <x:row r="4" ht="22" customHeight="1">
      <x:c r="A4" s="3" t="inlineStr">
        <x:is>
          <x:t xml:space="preserve">一、建议填写顺序</x:t>
        </x:is>
      </x:c>
    </x:row>
    <x:row r="5">
      <x:c r="A5" s="4" t="inlineStr">
        <x:is>
          <x:t xml:space="preserve">1.</x:t>
        </x:is>
      </x:c>
      <x:c r="B5" s="5" t="inlineStr">
        <x:is>
          <x:t xml:space="preserve">先在“8_配置记录”登记实际实验配置，确保模型、数据划分与解码参数可追溯。</x:t>
        </x:is>
      </x:c>
      <x:c r="C5" s="6" t="n"/>
      <x:c r="D5" s="6" t="n"/>
      <x:c r="E5" s="6" t="n"/>
      <x:c r="F5" s="6" t="n"/>
      <x:c r="G5" s="6" t="n"/>
      <x:c r="H5" s="6" t="n"/>
      <x:c r="I5" s="6" t="n"/>
      <x:c r="J5" s="7" t="n"/>
    </x:row>
    <x:row r="6">
      <x:c r="A6" s="4" t="inlineStr">
        <x:is>
          <x:t xml:space="preserve">2.</x:t>
        </x:is>
      </x:c>
      <x:c r="B6" s="5" t="inlineStr">
        <x:is>
          <x:t xml:space="preserve">再填写“1_主结果总表”，这是后续撰写 5.3.3 的核心数据来源。</x:t>
        </x:is>
      </x:c>
      <x:c r="C6" s="6" t="n"/>
      <x:c r="D6" s="6" t="n"/>
      <x:c r="E6" s="6" t="n"/>
      <x:c r="F6" s="6" t="n"/>
      <x:c r="G6" s="6" t="n"/>
      <x:c r="H6" s="6" t="n"/>
      <x:c r="I6" s="6" t="n"/>
      <x:c r="J6" s="7" t="n"/>
    </x:row>
    <x:row r="7">
      <x:c r="A7" s="4" t="inlineStr">
        <x:is>
          <x:t xml:space="preserve">3.</x:t>
        </x:is>
      </x:c>
      <x:c r="B7" s="5" t="inlineStr">
        <x:is>
          <x:t xml:space="preserve">如果你准备分析长尾关系/低频关系，请补充“2_关系级结果”。</x:t>
        </x:is>
      </x:c>
      <x:c r="C7" s="6" t="n"/>
      <x:c r="D7" s="6" t="n"/>
      <x:c r="E7" s="6" t="n"/>
      <x:c r="F7" s="6" t="n"/>
      <x:c r="G7" s="6" t="n"/>
      <x:c r="H7" s="6" t="n"/>
      <x:c r="I7" s="6" t="n"/>
      <x:c r="J7" s="7" t="n"/>
    </x:row>
    <x:row r="8">
      <x:c r="A8" s="4" t="inlineStr">
        <x:is>
          <x:t xml:space="preserve">4.</x:t>
        </x:is>
      </x:c>
      <x:c r="B8" s="5" t="inlineStr">
        <x:is>
          <x:t xml:space="preserve">若要强调“可控性”与“稳定入库”，请填写“3_结构与可控性”与“4_稳定性与成本”。</x:t>
        </x:is>
      </x:c>
      <x:c r="C8" s="6" t="n"/>
      <x:c r="D8" s="6" t="n"/>
      <x:c r="E8" s="6" t="n"/>
      <x:c r="F8" s="6" t="n"/>
      <x:c r="G8" s="6" t="n"/>
      <x:c r="H8" s="6" t="n"/>
      <x:c r="I8" s="6" t="n"/>
      <x:c r="J8" s="7" t="n"/>
    </x:row>
    <x:row r="9">
      <x:c r="A9" s="4" t="inlineStr">
        <x:is>
          <x:t xml:space="preserve">5.</x:t>
        </x:is>
      </x:c>
      <x:c r="B9" s="5" t="inlineStr">
        <x:is>
          <x:t xml:space="preserve">若想更强地证明创新点，建议补充“5_消融实验”“6_多候选与权重敏感性”“7_案例分析”。</x:t>
        </x:is>
      </x:c>
      <x:c r="C9" s="6" t="n"/>
      <x:c r="D9" s="6" t="n"/>
      <x:c r="E9" s="6" t="n"/>
      <x:c r="F9" s="6" t="n"/>
      <x:c r="G9" s="6" t="n"/>
      <x:c r="H9" s="6" t="n"/>
      <x:c r="I9" s="6" t="n"/>
      <x:c r="J9" s="7" t="n"/>
    </x:row>
    <x:row r="11" ht="22" customHeight="1">
      <x:c r="A11" s="3" t="inlineStr">
        <x:is>
          <x:t xml:space="preserve">二、各工作表作用</x:t>
        </x:is>
      </x:c>
    </x:row>
    <x:row r="12">
      <x:c r="A12" s="8" t="inlineStr">
        <x:is>
          <x:t xml:space="preserve">工作表</x:t>
        </x:is>
      </x:c>
      <x:c r="B12" s="8" t="inlineStr">
        <x:is>
          <x:t xml:space="preserve">状态</x:t>
        </x:is>
      </x:c>
      <x:c r="C12" s="8" t="inlineStr">
        <x:is>
          <x:t xml:space="preserve">用途</x:t>
        </x:is>
      </x:c>
      <x:c r="D12" s="8" t="inlineStr">
        <x:is>
          <x:t xml:space="preserve">建议优先级</x:t>
        </x:is>
      </x:c>
      <x:c r="E12" s="8" t="inlineStr">
        <x:is>
          <x:t xml:space="preserve">你至少需要填写什么</x:t>
        </x:is>
      </x:c>
    </x:row>
    <x:row r="13">
      <x:c r="A13" s="9" t="inlineStr">
        <x:is>
          <x:t xml:space="preserve">1_主结果总表</x:t>
        </x:is>
      </x:c>
      <x:c r="B13" s="10" t="inlineStr">
        <x:is>
          <x:t xml:space="preserve">必做</x:t>
        </x:is>
      </x:c>
      <x:c r="C13" s="11" t="inlineStr">
        <x:is>
          <x:t xml:space="preserve">三组主对比结果汇总；直接服务于正文主表</x:t>
        </x:is>
      </x:c>
      <x:c r="D13" s="10" t="inlineStr">
        <x:is>
          <x:t xml:space="preserve">最高</x:t>
        </x:is>
      </x:c>
      <x:c r="E13" s="12" t="inlineStr">
        <x:is>
          <x:t xml:space="preserve">Base / QLoRA-only / 完整方法 的 TP、FP、FN、可解析样本数、合规样本数、一致样本数、耗时等</x:t>
        </x:is>
      </x:c>
      <x:c r="F13" s="13" t="n"/>
      <x:c r="G13" s="13" t="n"/>
      <x:c r="H13" s="13" t="n"/>
      <x:c r="I13" s="13" t="n"/>
      <x:c r="J13" s="13" t="n"/>
    </x:row>
    <x:row r="14">
      <x:c r="A14" s="9" t="inlineStr">
        <x:is>
          <x:t xml:space="preserve">2_关系级结果</x:t>
        </x:is>
      </x:c>
      <x:c r="B14" s="10" t="inlineStr">
        <x:is>
          <x:t xml:space="preserve">建议做</x:t>
        </x:is>
      </x:c>
      <x:c r="C14" s="11" t="inlineStr">
        <x:is>
          <x:t xml:space="preserve">按 11 类关系记录细粒度结果，便于分析长尾关系提升</x:t>
        </x:is>
      </x:c>
      <x:c r="D14" s="10" t="inlineStr">
        <x:is>
          <x:t xml:space="preserve">高</x:t>
        </x:is>
      </x:c>
      <x:c r="E14" s="12" t="inlineStr">
        <x:is>
          <x:t xml:space="preserve">每种关系在各方法下的 TP、FP、FN</x:t>
        </x:is>
      </x:c>
      <x:c r="F14" s="13" t="n"/>
      <x:c r="G14" s="13" t="n"/>
      <x:c r="H14" s="13" t="n"/>
      <x:c r="I14" s="13" t="n"/>
      <x:c r="J14" s="13" t="n"/>
    </x:row>
    <x:row r="15">
      <x:c r="A15" s="9" t="inlineStr">
        <x:is>
          <x:t xml:space="preserve">3_结构与可控性</x:t>
        </x:is>
      </x:c>
      <x:c r="B15" s="10" t="inlineStr">
        <x:is>
          <x:t xml:space="preserve">建议做</x:t>
        </x:is>
      </x:c>
      <x:c r="C15" s="11" t="inlineStr">
        <x:is>
          <x:t xml:space="preserve">证明本体约束带来的结构合法性与可控性增益</x:t>
        </x:is>
      </x:c>
      <x:c r="D15" s="10" t="inlineStr">
        <x:is>
          <x:t xml:space="preserve">高</x:t>
        </x:is>
      </x:c>
      <x:c r="E15" s="12" t="inlineStr">
        <x:is>
          <x:t xml:space="preserve">非法关系、Schema非法、重复、边界异常、幻觉等计数</x:t>
        </x:is>
      </x:c>
      <x:c r="F15" s="13" t="n"/>
      <x:c r="G15" s="13" t="n"/>
      <x:c r="H15" s="13" t="n"/>
      <x:c r="I15" s="13" t="n"/>
      <x:c r="J15" s="13" t="n"/>
    </x:row>
    <x:row r="16">
      <x:c r="A16" s="9" t="inlineStr">
        <x:is>
          <x:t xml:space="preserve">4_稳定性与成本</x:t>
        </x:is>
      </x:c>
      <x:c r="B16" s="10" t="inlineStr">
        <x:is>
          <x:t xml:space="preserve">建议做</x:t>
        </x:is>
      </x:c>
      <x:c r="C16" s="11" t="inlineStr">
        <x:is>
          <x:t xml:space="preserve">支撑“轻量化本地部署”“结果更稳定”的分析</x:t>
        </x:is>
      </x:c>
      <x:c r="D16" s="10" t="inlineStr">
        <x:is>
          <x:t xml:space="preserve">高</x:t>
        </x:is>
      </x:c>
      <x:c r="E16" s="12" t="inlineStr">
        <x:is>
          <x:t xml:space="preserve">3次重复运行结果、训练/推理耗时、显存、吞吐</x:t>
        </x:is>
      </x:c>
      <x:c r="F16" s="13" t="n"/>
      <x:c r="G16" s="13" t="n"/>
      <x:c r="H16" s="13" t="n"/>
      <x:c r="I16" s="13" t="n"/>
      <x:c r="J16" s="13" t="n"/>
    </x:row>
    <x:row r="17">
      <x:c r="A17" s="9" t="inlineStr">
        <x:is>
          <x:t xml:space="preserve">5_消融实验</x:t>
        </x:is>
      </x:c>
      <x:c r="B17" s="10" t="inlineStr">
        <x:is>
          <x:t xml:space="preserve">可选</x:t>
        </x:is>
      </x:c>
      <x:c r="C17" s="11" t="inlineStr">
        <x:is>
          <x:t xml:space="preserve">进一步拆分 ontology / multi-candidate / error penalty 的贡献</x:t>
        </x:is>
      </x:c>
      <x:c r="D17" s="10" t="inlineStr">
        <x:is>
          <x:t xml:space="preserve">中</x:t>
        </x:is>
      </x:c>
      <x:c r="E17" s="12" t="inlineStr">
        <x:is>
          <x:t xml:space="preserve">至少补 2~4 个关键消融配置</x:t>
        </x:is>
      </x:c>
      <x:c r="F17" s="13" t="n"/>
      <x:c r="G17" s="13" t="n"/>
      <x:c r="H17" s="13" t="n"/>
      <x:c r="I17" s="13" t="n"/>
      <x:c r="J17" s="13" t="n"/>
    </x:row>
    <x:row r="18">
      <x:c r="A18" s="9" t="inlineStr">
        <x:is>
          <x:t xml:space="preserve">6_多候选与权重敏感性</x:t>
        </x:is>
      </x:c>
      <x:c r="B18" s="10" t="inlineStr">
        <x:is>
          <x:t xml:space="preserve">可选</x:t>
        </x:is>
      </x:c>
      <x:c r="C18" s="11" t="inlineStr">
        <x:is>
          <x:t xml:space="preserve">记录 K、top-p、αβγ 的调参结果</x:t>
        </x:is>
      </x:c>
      <x:c r="D18" s="10" t="inlineStr">
        <x:is>
          <x:t xml:space="preserve">中</x:t>
        </x:is>
      </x:c>
      <x:c r="E18" s="12" t="inlineStr">
        <x:is>
          <x:t xml:space="preserve">不同配置下的 TP、FP、FN、F1、合规率、耗时</x:t>
        </x:is>
      </x:c>
      <x:c r="F18" s="13" t="n"/>
      <x:c r="G18" s="13" t="n"/>
      <x:c r="H18" s="13" t="n"/>
      <x:c r="I18" s="13" t="n"/>
      <x:c r="J18" s="13" t="n"/>
    </x:row>
    <x:row r="19">
      <x:c r="A19" s="9" t="inlineStr">
        <x:is>
          <x:t xml:space="preserve">7_案例分析</x:t>
        </x:is>
      </x:c>
      <x:c r="B19" s="10" t="inlineStr">
        <x:is>
          <x:t xml:space="preserve">建议做</x:t>
        </x:is>
      </x:c>
      <x:c r="C19" s="11" t="inlineStr">
        <x:is>
          <x:t xml:space="preserve">沉淀能写进论文的典型样例</x:t>
        </x:is>
      </x:c>
      <x:c r="D19" s="10" t="inlineStr">
        <x:is>
          <x:t xml:space="preserve">高</x:t>
        </x:is>
      </x:c>
      <x:c r="E19" s="12" t="inlineStr">
        <x:is>
          <x:t xml:space="preserve">原文、金标、各方法输出、错误类型、改进点</x:t>
        </x:is>
      </x:c>
      <x:c r="F19" s="13" t="n"/>
      <x:c r="G19" s="13" t="n"/>
      <x:c r="H19" s="13" t="n"/>
      <x:c r="I19" s="13" t="n"/>
      <x:c r="J19" s="13" t="n"/>
    </x:row>
    <x:row r="20">
      <x:c r="A20" s="9" t="inlineStr">
        <x:is>
          <x:t xml:space="preserve">8_配置记录</x:t>
        </x:is>
      </x:c>
      <x:c r="B20" s="10" t="inlineStr">
        <x:is>
          <x:t xml:space="preserve">必做</x:t>
        </x:is>
      </x:c>
      <x:c r="C20" s="11" t="inlineStr">
        <x:is>
          <x:t xml:space="preserve">把实验设置固定下来，避免写作时信息缺失</x:t>
        </x:is>
      </x:c>
      <x:c r="D20" s="10" t="inlineStr">
        <x:is>
          <x:t xml:space="preserve">最高</x:t>
        </x:is>
      </x:c>
      <x:c r="E20" s="12" t="inlineStr">
        <x:is>
          <x:t xml:space="preserve">数据划分、硬件、超参数、解码与评分参数</x:t>
        </x:is>
      </x:c>
      <x:c r="F20" s="13" t="n"/>
      <x:c r="G20" s="13" t="n"/>
      <x:c r="H20" s="13" t="n"/>
      <x:c r="I20" s="13" t="n"/>
      <x:c r="J20" s="13" t="n"/>
    </x:row>
    <x:row r="22" ht="22" customHeight="1">
      <x:c r="A22" s="3" t="inlineStr">
        <x:is>
          <x:t xml:space="preserve">三、颜色约定</x:t>
        </x:is>
      </x:c>
    </x:row>
    <x:row r="23">
      <x:c r="A23" s="10" t="inlineStr">
        <x:is>
          <x:t xml:space="preserve">浅蓝底 + 蓝字</x:t>
        </x:is>
      </x:c>
      <x:c r="B23" s="5" t="inlineStr">
        <x:is>
          <x:t xml:space="preserve">请填写/可修改的原始输入</x:t>
        </x:is>
      </x:c>
      <x:c r="C23" s="6" t="n"/>
      <x:c r="D23" s="6" t="n"/>
      <x:c r="E23" s="6" t="n"/>
      <x:c r="F23" s="6" t="n"/>
      <x:c r="G23" s="6" t="n"/>
      <x:c r="H23" s="6" t="n"/>
      <x:c r="I23" s="6" t="n"/>
      <x:c r="J23" s="7" t="n"/>
    </x:row>
    <x:row r="24">
      <x:c r="A24" s="14" t="inlineStr">
        <x:is>
          <x:t xml:space="preserve">白底 + 黑字</x:t>
        </x:is>
      </x:c>
      <x:c r="B24" s="5" t="inlineStr">
        <x:is>
          <x:t xml:space="preserve">公式自动计算结果，请尽量不要覆盖</x:t>
        </x:is>
      </x:c>
      <x:c r="C24" s="6" t="n"/>
      <x:c r="D24" s="6" t="n"/>
      <x:c r="E24" s="6" t="n"/>
      <x:c r="F24" s="6" t="n"/>
      <x:c r="G24" s="6" t="n"/>
      <x:c r="H24" s="6" t="n"/>
      <x:c r="I24" s="6" t="n"/>
      <x:c r="J24" s="7" t="n"/>
    </x:row>
    <x:row r="25">
      <x:c r="A25" s="9" t="inlineStr">
        <x:is>
          <x:t xml:space="preserve">灰底 + 灰字</x:t>
        </x:is>
      </x:c>
      <x:c r="B25" s="5" t="inlineStr">
        <x:is>
          <x:t xml:space="preserve">论文中已出现或预置的参考常量</x:t>
        </x:is>
      </x:c>
      <x:c r="C25" s="6" t="n"/>
      <x:c r="D25" s="6" t="n"/>
      <x:c r="E25" s="6" t="n"/>
      <x:c r="F25" s="6" t="n"/>
      <x:c r="G25" s="6" t="n"/>
      <x:c r="H25" s="6" t="n"/>
      <x:c r="I25" s="6" t="n"/>
      <x:c r="J25" s="7" t="n"/>
    </x:row>
    <x:row r="26">
      <x:c r="A26" s="15" t="inlineStr">
        <x:is>
          <x:t xml:space="preserve">浅黄底</x:t>
        </x:is>
      </x:c>
      <x:c r="B26" s="5" t="inlineStr">
        <x:is>
          <x:t xml:space="preserve">建议但非强制填写的补充实验</x:t>
        </x:is>
      </x:c>
      <x:c r="C26" s="6" t="n"/>
      <x:c r="D26" s="6" t="n"/>
      <x:c r="E26" s="6" t="n"/>
      <x:c r="F26" s="6" t="n"/>
      <x:c r="G26" s="6" t="n"/>
      <x:c r="H26" s="6" t="n"/>
      <x:c r="I26" s="6" t="n"/>
      <x:c r="J26" s="7" t="n"/>
    </x:row>
    <x:row r="27">
      <x:c r="A27" s="16" t="inlineStr">
        <x:is>
          <x:t xml:space="preserve">浅橙底</x:t>
        </x:is>
      </x:c>
      <x:c r="B27" s="5" t="inlineStr">
        <x:is>
          <x:t xml:space="preserve">需要人工判断或写作复核的内容</x:t>
        </x:is>
      </x:c>
      <x:c r="C27" s="6" t="n"/>
      <x:c r="D27" s="6" t="n"/>
      <x:c r="E27" s="6" t="n"/>
      <x:c r="F27" s="6" t="n"/>
      <x:c r="G27" s="6" t="n"/>
      <x:c r="H27" s="6" t="n"/>
      <x:c r="I27" s="6" t="n"/>
      <x:c r="J27" s="7" t="n"/>
    </x:row>
  </x:sheetData>
  <x:mergeCells>
    <x:mergeCell ref="B7:J7"/>
    <x:mergeCell ref="A1:J1"/>
    <x:mergeCell ref="B25:J25"/>
    <x:mergeCell ref="B5:J5"/>
    <x:mergeCell ref="A22:J22"/>
    <x:mergeCell ref="B23:J23"/>
    <x:mergeCell ref="B9:J9"/>
    <x:mergeCell ref="A4:J4"/>
    <x:mergeCell ref="B8:J8"/>
    <x:mergeCell ref="B26:J26"/>
    <x:mergeCell ref="B27:J27"/>
    <x:mergeCell ref="A2:J2"/>
    <x:mergeCell ref="B6:J6"/>
    <x:mergeCell ref="B24:J24"/>
    <x:mergeCell ref="A11:J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38" customWidth="1"/>
    <x:col min="3" max="3" width="12" customWidth="1"/>
    <x:col min="4" max="4" width="16" customWidth="1"/>
    <x:col min="5" max="5" width="14" customWidth="1"/>
    <x:col min="6" max="6" width="8" customWidth="1"/>
    <x:col min="7" max="7" width="8" customWidth="1"/>
    <x:col min="8" max="8" width="8" customWidth="1"/>
    <x:col min="9" max="9" width="10" customWidth="1"/>
    <x:col min="10" max="10" width="10" customWidth="1"/>
    <x:col min="11" max="11" width="10" customWidth="1"/>
    <x:col min="12" max="12" width="12" customWidth="1"/>
    <x:col min="13" max="13" width="10" customWidth="1"/>
    <x:col min="14" max="14" width="12" customWidth="1"/>
    <x:col min="15" max="15" width="10" customWidth="1"/>
    <x:col min="16" max="16" width="12" customWidth="1"/>
    <x:col min="17" max="17" width="10" customWidth="1"/>
    <x:col min="18" max="18" width="14" customWidth="1"/>
    <x:col min="19" max="19" width="10" customWidth="1"/>
    <x:col min="20" max="20" width="10" customWidth="1"/>
    <x:col min="21" max="21" width="15" customWidth="1"/>
    <x:col min="22" max="22" width="13" customWidth="1"/>
    <x:col min="23" max="23" width="11" customWidth="1"/>
    <x:col min="24" max="24" width="20" customWidth="1"/>
    <x:col min="25" max="25" width="12" customWidth="1"/>
    <x:col min="26" max="26" width="14" customWidth="1"/>
    <x:col min="27" max="27" width="16" customWidth="1"/>
    <x:col min="28" max="28" width="16" customWidth="1"/>
  </x:cols>
  <x:sheetData>
    <x:row r="1" ht="24" customHeight="1">
      <x:c r="A1" s="1" t="inlineStr">
        <x:is>
          <x:t xml:space="preserve">第5章主结果总表（与 5.3.2 三组对比一致）</x:t>
        </x:is>
      </x:c>
    </x:row>
    <x:row r="2">
      <x:c r="A2" s="2" t="inlineStr">
        <x:is>
          <x:t xml:space="preserve">填写建议：优先填写 TP / FP / FN 及各类原始计数，Precision、Recall、F1、各类比率会自动计算。若某项暂未评估，可先留空。</x:t>
        </x:is>
      </x:c>
    </x:row>
    <x:row r="4" ht="22" customHeight="1">
      <x:c r="A4" s="3" t="inlineStr">
        <x:is>
          <x:t xml:space="preserve">核心对比：Base vs QLoRA-only vs QLoRA+多候选评分（完整方法）</x:t>
        </x:is>
      </x:c>
    </x:row>
    <x:row r="5" ht="36" customHeight="1">
      <x:c r="A5" s="8" t="inlineStr">
        <x:is>
          <x:t xml:space="preserve">方法组</x:t>
        </x:is>
      </x:c>
      <x:c r="B5" s="8" t="inlineStr">
        <x:is>
          <x:t xml:space="preserve">方法说明</x:t>
        </x:is>
      </x:c>
      <x:c r="C5" s="8" t="inlineStr">
        <x:is>
          <x:t xml:space="preserve">测试样本数</x:t>
        </x:is>
      </x:c>
      <x:c r="D5" s="8" t="inlineStr">
        <x:is>
          <x:t xml:space="preserve">测试集金标三元组数</x:t>
        </x:is>
      </x:c>
      <x:c r="E5" s="8" t="inlineStr">
        <x:is>
          <x:t xml:space="preserve">预测三元组总数</x:t>
        </x:is>
      </x:c>
      <x:c r="F5" s="8" t="inlineStr">
        <x:is>
          <x:t xml:space="preserve">TP</x:t>
        </x:is>
      </x:c>
      <x:c r="G5" s="8" t="inlineStr">
        <x:is>
          <x:t xml:space="preserve">FP</x:t>
        </x:is>
      </x:c>
      <x:c r="H5" s="8" t="inlineStr">
        <x:is>
          <x:t xml:space="preserve">FN</x:t>
        </x:is>
      </x:c>
      <x:c r="I5" s="8" t="inlineStr">
        <x:is>
          <x:t xml:space="preserve">Precision</x:t>
        </x:is>
      </x:c>
      <x:c r="J5" s="8" t="inlineStr">
        <x:is>
          <x:t xml:space="preserve">Recall</x:t>
        </x:is>
      </x:c>
      <x:c r="K5" s="8" t="inlineStr">
        <x:is>
          <x:t xml:space="preserve">F1</x:t>
        </x:is>
      </x:c>
      <x:c r="L5" s="8" t="inlineStr">
        <x:is>
          <x:t xml:space="preserve">可解析样本数</x:t>
        </x:is>
      </x:c>
      <x:c r="M5" s="8" t="inlineStr">
        <x:is>
          <x:t xml:space="preserve">可解析率</x:t>
        </x:is>
      </x:c>
      <x:c r="N5" s="8" t="inlineStr">
        <x:is>
          <x:t xml:space="preserve">合规样本数</x:t>
        </x:is>
      </x:c>
      <x:c r="O5" s="8" t="inlineStr">
        <x:is>
          <x:t xml:space="preserve">合规率</x:t>
        </x:is>
      </x:c>
      <x:c r="P5" s="8" t="inlineStr">
        <x:is>
          <x:t xml:space="preserve">幻觉三元组数</x:t>
        </x:is>
      </x:c>
      <x:c r="Q5" s="8" t="inlineStr">
        <x:is>
          <x:t xml:space="preserve">幻觉率</x:t>
        </x:is>
      </x:c>
      <x:c r="R5" s="8" t="inlineStr">
        <x:is>
          <x:t xml:space="preserve">稳定性评测样本数</x:t>
        </x:is>
      </x:c>
      <x:c r="S5" s="8" t="inlineStr">
        <x:is>
          <x:t xml:space="preserve">一致样本数</x:t>
        </x:is>
      </x:c>
      <x:c r="T5" s="8" t="inlineStr">
        <x:is>
          <x:t xml:space="preserve">一致率</x:t>
        </x:is>
      </x:c>
      <x:c r="U5" s="8" t="inlineStr">
        <x:is>
          <x:t xml:space="preserve">平均单样本推理耗时(ms)</x:t>
        </x:is>
      </x:c>
      <x:c r="V5" s="8" t="inlineStr">
        <x:is>
          <x:t xml:space="preserve">吞吐(samples/s)</x:t>
        </x:is>
      </x:c>
      <x:c r="W5" s="8" t="inlineStr">
        <x:is>
          <x:t xml:space="preserve">峰值显存(GB)</x:t>
        </x:is>
      </x:c>
      <x:c r="X5" s="8" t="inlineStr">
        <x:is>
          <x:t xml:space="preserve">备注</x:t>
        </x:is>
      </x:c>
      <x:c r="Y5" s="8" t="inlineStr">
        <x:is>
          <x:t xml:space="preserve">ΔF1 vs Base</x:t>
        </x:is>
      </x:c>
      <x:c r="Z5" s="8" t="inlineStr">
        <x:is>
          <x:t xml:space="preserve">ΔF1 vs QLoRA-only</x:t>
        </x:is>
      </x:c>
      <x:c r="AA5" s="8" t="inlineStr">
        <x:is>
          <x:t xml:space="preserve">Δ合规率 vs QLoRA-only</x:t>
        </x:is>
      </x:c>
      <x:c r="AB5" s="8" t="inlineStr">
        <x:is>
          <x:t xml:space="preserve">Δ一致率 vs QLoRA-only</x:t>
        </x:is>
      </x:c>
    </x:row>
    <x:row r="6">
      <x:c r="A6" s="9" t="inlineStr">
        <x:is>
          <x:t xml:space="preserve">Base</x:t>
        </x:is>
      </x:c>
      <x:c r="B6" s="17" t="inlineStr">
        <x:is>
          <x:t xml:space="preserve">未微调基座模型；不启用本体约束与多候选评分</x:t>
        </x:is>
      </x:c>
      <x:c r="C6" s="10" t="n"/>
      <x:c r="D6" s="10" t="n"/>
      <x:c r="E6" s="10" t="n"/>
      <x:c r="F6" s="10" t="n"/>
      <x:c r="G6" s="10" t="n"/>
      <x:c r="H6" s="10" t="n"/>
      <x:c r="I6" s="18">
        <x:f>IFERROR(F6/(F6+G6),"")</x:f>
      </x:c>
      <x:c r="J6" s="18">
        <x:f>IFERROR(F6/(F6+H6),"")</x:f>
      </x:c>
      <x:c r="K6" s="18">
        <x:f>IFERROR(2*I6*J6/(I6+J6),"")</x:f>
      </x:c>
      <x:c r="L6" s="10" t="n"/>
      <x:c r="M6" s="18">
        <x:f>IFERROR(L6/C6,"")</x:f>
      </x:c>
      <x:c r="N6" s="10" t="n"/>
      <x:c r="O6" s="18">
        <x:f>IFERROR(N6/C6,"")</x:f>
      </x:c>
      <x:c r="P6" s="10" t="n"/>
      <x:c r="Q6" s="18">
        <x:f>IFERROR(P6/E6,"")</x:f>
      </x:c>
      <x:c r="R6" s="10" t="n">
        <x:v>100</x:v>
      </x:c>
      <x:c r="S6" s="10" t="n"/>
      <x:c r="T6" s="18">
        <x:f>IFERROR(S6/R6,"")</x:f>
        <x:v>0</x:v>
      </x:c>
      <x:c r="U6" s="19" t="n"/>
      <x:c r="V6" s="19" t="n"/>
      <x:c r="W6" s="19" t="n"/>
      <x:c r="X6" s="10" t="n"/>
      <x:c r="Y6" s="18" t="inlineStr">
        <x:is>
          <x:t xml:space="preserve"/>
        </x:is>
      </x:c>
      <x:c r="Z6" s="18" t="inlineStr">
        <x:is>
          <x:t xml:space="preserve"/>
        </x:is>
      </x:c>
      <x:c r="AA6" s="18" t="inlineStr">
        <x:is>
          <x:t xml:space="preserve"/>
        </x:is>
      </x:c>
      <x:c r="AB6" s="18" t="inlineStr">
        <x:is>
          <x:t xml:space="preserve"/>
        </x:is>
      </x:c>
    </x:row>
    <x:row r="7">
      <x:c r="A7" s="9" t="inlineStr">
        <x:is>
          <x:t xml:space="preserve">QLoRA-only</x:t>
        </x:is>
      </x:c>
      <x:c r="B7" s="17" t="inlineStr">
        <x:is>
          <x:t xml:space="preserve">仅进行 QLoRA 领域微调；直接单次生成</x:t>
        </x:is>
      </x:c>
      <x:c r="C7" s="10" t="n"/>
      <x:c r="D7" s="10" t="n"/>
      <x:c r="E7" s="10" t="n"/>
      <x:c r="F7" s="10" t="n"/>
      <x:c r="G7" s="10" t="n"/>
      <x:c r="H7" s="10" t="n"/>
      <x:c r="I7" s="18">
        <x:f>IFERROR(F7/(F7+G7),"")</x:f>
      </x:c>
      <x:c r="J7" s="18">
        <x:f>IFERROR(F7/(F7+H7),"")</x:f>
      </x:c>
      <x:c r="K7" s="18">
        <x:f>IFERROR(2*I7*J7/(I7+J7),"")</x:f>
      </x:c>
      <x:c r="L7" s="10" t="n"/>
      <x:c r="M7" s="18">
        <x:f>IFERROR(L7/C7,"")</x:f>
      </x:c>
      <x:c r="N7" s="10" t="n"/>
      <x:c r="O7" s="18">
        <x:f>IFERROR(N7/C7,"")</x:f>
      </x:c>
      <x:c r="P7" s="10" t="n"/>
      <x:c r="Q7" s="18">
        <x:f>IFERROR(P7/E7,"")</x:f>
      </x:c>
      <x:c r="R7" s="10" t="n">
        <x:v>100</x:v>
      </x:c>
      <x:c r="S7" s="10" t="n"/>
      <x:c r="T7" s="18">
        <x:f>IFERROR(S7/R7,"")</x:f>
        <x:v>0</x:v>
      </x:c>
      <x:c r="U7" s="19" t="n"/>
      <x:c r="V7" s="19" t="n"/>
      <x:c r="W7" s="19" t="n"/>
      <x:c r="X7" s="10" t="n"/>
      <x:c r="Y7" s="18">
        <x:f>IFERROR(K7-$K$6,"")</x:f>
        <x:v>0</x:v>
      </x:c>
      <x:c r="Z7" s="18" t="inlineStr">
        <x:is>
          <x:t xml:space="preserve"/>
        </x:is>
      </x:c>
      <x:c r="AA7" s="18">
        <x:f>IFERROR(O7-$O$7,"")</x:f>
        <x:v>0</x:v>
      </x:c>
      <x:c r="AB7" s="18">
        <x:f>IFERROR(T7-$T$7,"")</x:f>
        <x:v>0</x:v>
      </x:c>
    </x:row>
    <x:row r="8">
      <x:c r="A8" s="9" t="inlineStr">
        <x:is>
          <x:t xml:space="preserve">QLoRA+多候选评分(完整方法)</x:t>
        </x:is>
      </x:c>
      <x:c r="B8" s="17" t="inlineStr">
        <x:is>
          <x:t xml:space="preserve">QLoRA 微调 + 多候选生成 + 本体约束 + 综合评分</x:t>
        </x:is>
      </x:c>
      <x:c r="C8" s="10" t="n"/>
      <x:c r="D8" s="10" t="n"/>
      <x:c r="E8" s="10" t="n"/>
      <x:c r="F8" s="10" t="n"/>
      <x:c r="G8" s="10" t="n"/>
      <x:c r="H8" s="10" t="n"/>
      <x:c r="I8" s="18">
        <x:f>IFERROR(F8/(F8+G8),"")</x:f>
      </x:c>
      <x:c r="J8" s="18">
        <x:f>IFERROR(F8/(F8+H8),"")</x:f>
      </x:c>
      <x:c r="K8" s="18">
        <x:f>IFERROR(2*I8*J8/(I8+J8),"")</x:f>
      </x:c>
      <x:c r="L8" s="10" t="n"/>
      <x:c r="M8" s="18">
        <x:f>IFERROR(L8/C8,"")</x:f>
      </x:c>
      <x:c r="N8" s="10" t="n"/>
      <x:c r="O8" s="18">
        <x:f>IFERROR(N8/C8,"")</x:f>
      </x:c>
      <x:c r="P8" s="10" t="n"/>
      <x:c r="Q8" s="18">
        <x:f>IFERROR(P8/E8,"")</x:f>
      </x:c>
      <x:c r="R8" s="10" t="n">
        <x:v>100</x:v>
      </x:c>
      <x:c r="S8" s="10" t="n"/>
      <x:c r="T8" s="18">
        <x:f>IFERROR(S8/R8,"")</x:f>
        <x:v>0</x:v>
      </x:c>
      <x:c r="U8" s="19" t="n"/>
      <x:c r="V8" s="19" t="n"/>
      <x:c r="W8" s="19" t="n"/>
      <x:c r="X8" s="10" t="n"/>
      <x:c r="Y8" s="18">
        <x:f>IFERROR(K8-$K$6,"")</x:f>
        <x:v>0</x:v>
      </x:c>
      <x:c r="Z8" s="18">
        <x:f>IFERROR(K8-$K$7,"")</x:f>
        <x:v>0</x:v>
      </x:c>
      <x:c r="AA8" s="18">
        <x:f>IFERROR(O8-$O$7,"")</x:f>
        <x:v>0</x:v>
      </x:c>
      <x:c r="AB8" s="18">
        <x:f>IFERROR(T8-$T$7,"")</x:f>
        <x:v>0</x:v>
      </x:c>
    </x:row>
  </x:sheetData>
  <x:mergeCells>
    <x:mergeCell ref="A2:AB2"/>
    <x:mergeCell ref="A1:AB1"/>
    <x:mergeCell ref="A4:AB4"/>
  </x:mergeCells>
  <x:dataValidations count="1">
    <x:dataValidation type="list" allowBlank="1" showDropDown="0" showInputMessage="0" showErrorMessage="0" sqref="A6:A8 A6:A38 B6:B12">
      <x:formula1>=lists!$A$1:$A$8</x:formula1>
    </x:dataValidation>
  </x:dataValidations>
  <x:pageMargins left="0.7" right="0.7" top="0.75" bottom="0.75" header="0.3" footer="0.3"/>
  <x:legacyDrawing xmlns:r="http://schemas.openxmlformats.org/officeDocument/2006/relationships" r:id="Rce2ab752744245f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8" customWidth="1"/>
    <x:col min="3" max="3" width="20" customWidth="1"/>
    <x:col min="4" max="4" width="16" customWidth="1"/>
    <x:col min="5" max="5" width="12" customWidth="1"/>
    <x:col min="6" max="6" width="8" customWidth="1"/>
    <x:col min="7" max="7" width="8" customWidth="1"/>
    <x:col min="8" max="8" width="8" customWidth="1"/>
    <x:col min="9" max="9" width="10" customWidth="1"/>
    <x:col min="10" max="10" width="10" customWidth="1"/>
    <x:col min="11" max="11" width="10" customWidth="1"/>
    <x:col min="12" max="12" width="18" customWidth="1"/>
  </x:cols>
  <x:sheetData>
    <x:row r="1" ht="24" customHeight="1">
      <x:c r="A1" s="1" t="inlineStr">
        <x:is>
          <x:t xml:space="preserve">关系级结果明细（11类关系 × 3组方法）</x:t>
        </x:is>
      </x:c>
    </x:row>
    <x:row r="2">
      <x:c r="A2" s="2" t="inlineStr">
        <x:is>
          <x:t xml:space="preserve">C列“全量数据集关系三元组数(参考)”来自论文表5.2，仅用于提示关系分布偏斜；你需要填写的是测试集上的 D~H。</x:t>
        </x:is>
      </x:c>
    </x:row>
    <x:row r="4" ht="22" customHeight="1">
      <x:c r="A4" s="3" t="inlineStr">
        <x:is>
          <x:t xml:space="preserve">细粒度关系分析（推荐用于解释长尾关系与低频关系表现）</x:t>
        </x:is>
      </x:c>
    </x:row>
    <x:row r="5">
      <x:c r="A5" s="8" t="inlineStr">
        <x:is>
          <x:t xml:space="preserve">方法组</x:t>
        </x:is>
      </x:c>
      <x:c r="B5" s="8" t="inlineStr">
        <x:is>
          <x:t xml:space="preserve">关系类型</x:t>
        </x:is>
      </x:c>
      <x:c r="C5" s="8" t="inlineStr">
        <x:is>
          <x:t xml:space="preserve">全量数据集关系三元组数(参考)</x:t>
        </x:is>
      </x:c>
      <x:c r="D5" s="8" t="inlineStr">
        <x:is>
          <x:t xml:space="preserve">测试集金标三元组数</x:t>
        </x:is>
      </x:c>
      <x:c r="E5" s="8" t="inlineStr">
        <x:is>
          <x:t xml:space="preserve">预测三元组数</x:t>
        </x:is>
      </x:c>
      <x:c r="F5" s="8" t="inlineStr">
        <x:is>
          <x:t xml:space="preserve">TP</x:t>
        </x:is>
      </x:c>
      <x:c r="G5" s="8" t="inlineStr">
        <x:is>
          <x:t xml:space="preserve">FP</x:t>
        </x:is>
      </x:c>
      <x:c r="H5" s="8" t="inlineStr">
        <x:is>
          <x:t xml:space="preserve">FN</x:t>
        </x:is>
      </x:c>
      <x:c r="I5" s="8" t="inlineStr">
        <x:is>
          <x:t xml:space="preserve">Precision</x:t>
        </x:is>
      </x:c>
      <x:c r="J5" s="8" t="inlineStr">
        <x:is>
          <x:t xml:space="preserve">Recall</x:t>
        </x:is>
      </x:c>
      <x:c r="K5" s="8" t="inlineStr">
        <x:is>
          <x:t xml:space="preserve">F1</x:t>
        </x:is>
      </x:c>
      <x:c r="L5" s="8" t="inlineStr">
        <x:is>
          <x:t xml:space="preserve">备注</x:t>
        </x:is>
      </x:c>
    </x:row>
    <x:row r="6">
      <x:c r="A6" s="9" t="inlineStr">
        <x:is>
          <x:t xml:space="preserve">Base</x:t>
        </x:is>
      </x:c>
      <x:c r="B6" s="9" t="inlineStr">
        <x:is>
          <x:t xml:space="preserve">tested_by</x:t>
        </x:is>
      </x:c>
      <x:c r="C6" s="9" t="n">
        <x:v>7455</x:v>
      </x:c>
      <x:c r="D6" s="10" t="n"/>
      <x:c r="E6" s="10" t="n"/>
      <x:c r="F6" s="10" t="n"/>
      <x:c r="G6" s="10" t="n"/>
      <x:c r="H6" s="10" t="n"/>
      <x:c r="I6" s="18">
        <x:f>IFERROR(F6/(F6+G6),"")</x:f>
      </x:c>
      <x:c r="J6" s="18">
        <x:f>IFERROR(F6/(F6+H6),"")</x:f>
      </x:c>
      <x:c r="K6" s="18">
        <x:f>IFERROR(2*I6*J6/(I6+J6),"")</x:f>
      </x:c>
      <x:c r="L6" s="10" t="n"/>
    </x:row>
    <x:row r="7">
      <x:c r="A7" s="9" t="inlineStr">
        <x:is>
          <x:t xml:space="preserve">Base</x:t>
        </x:is>
      </x:c>
      <x:c r="B7" s="9" t="inlineStr">
        <x:is>
          <x:t xml:space="preserve">provided_by</x:t>
        </x:is>
      </x:c>
      <x:c r="C7" s="9" t="n">
        <x:v>4933</x:v>
      </x:c>
      <x:c r="D7" s="10" t="n"/>
      <x:c r="E7" s="10" t="n"/>
      <x:c r="F7" s="10" t="n"/>
      <x:c r="G7" s="10" t="n"/>
      <x:c r="H7" s="10" t="n"/>
      <x:c r="I7" s="18">
        <x:f>IFERROR(F7/(F7+G7),"")</x:f>
      </x:c>
      <x:c r="J7" s="18">
        <x:f>IFERROR(F7/(F7+H7),"")</x:f>
      </x:c>
      <x:c r="K7" s="18">
        <x:f>IFERROR(2*I7*J7/(I7+J7),"")</x:f>
      </x:c>
      <x:c r="L7" s="10" t="n"/>
    </x:row>
    <x:row r="8">
      <x:c r="A8" s="9" t="inlineStr">
        <x:is>
          <x:t xml:space="preserve">Base</x:t>
        </x:is>
      </x:c>
      <x:c r="B8" s="9" t="inlineStr">
        <x:is>
          <x:t xml:space="preserve">provided_to</x:t>
        </x:is>
      </x:c>
      <x:c r="C8" s="9" t="n">
        <x:v>5059</x:v>
      </x:c>
      <x:c r="D8" s="10" t="n"/>
      <x:c r="E8" s="10" t="n"/>
      <x:c r="F8" s="10" t="n"/>
      <x:c r="G8" s="10" t="n"/>
      <x:c r="H8" s="10" t="n"/>
      <x:c r="I8" s="18">
        <x:f>IFERROR(F8/(F8+G8),"")</x:f>
      </x:c>
      <x:c r="J8" s="18">
        <x:f>IFERROR(F8/(F8+H8),"")</x:f>
      </x:c>
      <x:c r="K8" s="18">
        <x:f>IFERROR(2*I8*J8/(I8+J8),"")</x:f>
      </x:c>
      <x:c r="L8" s="10" t="n"/>
    </x:row>
    <x:row r="9">
      <x:c r="A9" s="9" t="inlineStr">
        <x:is>
          <x:t xml:space="preserve">Base</x:t>
        </x:is>
      </x:c>
      <x:c r="B9" s="9" t="inlineStr">
        <x:is>
          <x:t xml:space="preserve">deployed_by</x:t>
        </x:is>
      </x:c>
      <x:c r="C9" s="9" t="n">
        <x:v>1330</x:v>
      </x:c>
      <x:c r="D9" s="10" t="n"/>
      <x:c r="E9" s="10" t="n"/>
      <x:c r="F9" s="10" t="n"/>
      <x:c r="G9" s="10" t="n"/>
      <x:c r="H9" s="10" t="n"/>
      <x:c r="I9" s="18">
        <x:f>IFERROR(F9/(F9+G9),"")</x:f>
      </x:c>
      <x:c r="J9" s="18">
        <x:f>IFERROR(F9/(F9+H9),"")</x:f>
      </x:c>
      <x:c r="K9" s="18">
        <x:f>IFERROR(2*I9*J9/(I9+J9),"")</x:f>
      </x:c>
      <x:c r="L9" s="10" t="n"/>
    </x:row>
    <x:row r="10">
      <x:c r="A10" s="9" t="inlineStr">
        <x:is>
          <x:t xml:space="preserve">Base</x:t>
        </x:is>
      </x:c>
      <x:c r="B10" s="9" t="inlineStr">
        <x:is>
          <x:t xml:space="preserve">deployed_to</x:t>
        </x:is>
      </x:c>
      <x:c r="C10" s="9" t="n">
        <x:v>1079</x:v>
      </x:c>
      <x:c r="D10" s="10" t="n"/>
      <x:c r="E10" s="10" t="n"/>
      <x:c r="F10" s="10" t="n"/>
      <x:c r="G10" s="10" t="n"/>
      <x:c r="H10" s="10" t="n"/>
      <x:c r="I10" s="18">
        <x:f>IFERROR(F10/(F10+G10),"")</x:f>
      </x:c>
      <x:c r="J10" s="18">
        <x:f>IFERROR(F10/(F10+H10),"")</x:f>
      </x:c>
      <x:c r="K10" s="18">
        <x:f>IFERROR(2*I10*J10/(I10+J10),"")</x:f>
      </x:c>
      <x:c r="L10" s="10" t="n"/>
    </x:row>
    <x:row r="11">
      <x:c r="A11" s="9" t="inlineStr">
        <x:is>
          <x:t xml:space="preserve">Base</x:t>
        </x:is>
      </x:c>
      <x:c r="B11" s="9" t="inlineStr">
        <x:is>
          <x:t xml:space="preserve">equipped_with</x:t>
        </x:is>
      </x:c>
      <x:c r="C11" s="9" t="n">
        <x:v>202</x:v>
      </x:c>
      <x:c r="D11" s="10" t="n"/>
      <x:c r="E11" s="10" t="n"/>
      <x:c r="F11" s="10" t="n"/>
      <x:c r="G11" s="10" t="n"/>
      <x:c r="H11" s="10" t="n"/>
      <x:c r="I11" s="18">
        <x:f>IFERROR(F11/(F11+G11),"")</x:f>
      </x:c>
      <x:c r="J11" s="18">
        <x:f>IFERROR(F11/(F11+H11),"")</x:f>
      </x:c>
      <x:c r="K11" s="18">
        <x:f>IFERROR(2*I11*J11/(I11+J11),"")</x:f>
      </x:c>
      <x:c r="L11" s="10" t="n"/>
    </x:row>
    <x:row r="12">
      <x:c r="A12" s="9" t="inlineStr">
        <x:is>
          <x:t xml:space="preserve">Base</x:t>
        </x:is>
      </x:c>
      <x:c r="B12" s="9" t="inlineStr">
        <x:is>
          <x:t xml:space="preserve">targeted_at</x:t>
        </x:is>
      </x:c>
      <x:c r="C12" s="9" t="n">
        <x:v>322</x:v>
      </x:c>
      <x:c r="D12" s="10" t="n"/>
      <x:c r="E12" s="10" t="n"/>
      <x:c r="F12" s="10" t="n"/>
      <x:c r="G12" s="10" t="n"/>
      <x:c r="H12" s="10" t="n"/>
      <x:c r="I12" s="18">
        <x:f>IFERROR(F12/(F12+G12),"")</x:f>
      </x:c>
      <x:c r="J12" s="18">
        <x:f>IFERROR(F12/(F12+H12),"")</x:f>
      </x:c>
      <x:c r="K12" s="18">
        <x:f>IFERROR(2*I12*J12/(I12+J12),"")</x:f>
      </x:c>
      <x:c r="L12" s="10" t="n"/>
    </x:row>
    <x:row r="13">
      <x:c r="A13" s="9" t="inlineStr">
        <x:is>
          <x:t xml:space="preserve">Base</x:t>
        </x:is>
      </x:c>
      <x:c r="B13" s="9" t="inlineStr">
        <x:is>
          <x:t xml:space="preserve">incident_with</x:t>
        </x:is>
      </x:c>
      <x:c r="C13" s="9" t="n">
        <x:v>56</x:v>
      </x:c>
      <x:c r="D13" s="10" t="n"/>
      <x:c r="E13" s="10" t="n"/>
      <x:c r="F13" s="10" t="n"/>
      <x:c r="G13" s="10" t="n"/>
      <x:c r="H13" s="10" t="n"/>
      <x:c r="I13" s="18">
        <x:f>IFERROR(F13/(F13+G13),"")</x:f>
      </x:c>
      <x:c r="J13" s="18">
        <x:f>IFERROR(F13/(F13+H13),"")</x:f>
      </x:c>
      <x:c r="K13" s="18">
        <x:f>IFERROR(2*I13*J13/(I13+J13),"")</x:f>
      </x:c>
      <x:c r="L13" s="10" t="n"/>
    </x:row>
    <x:row r="14">
      <x:c r="A14" s="9" t="inlineStr">
        <x:is>
          <x:t xml:space="preserve">Base</x:t>
        </x:is>
      </x:c>
      <x:c r="B14" s="9" t="inlineStr">
        <x:is>
          <x:t xml:space="preserve">occurs_at</x:t>
        </x:is>
      </x:c>
      <x:c r="C14" s="9" t="n">
        <x:v>3375</x:v>
      </x:c>
      <x:c r="D14" s="10" t="n"/>
      <x:c r="E14" s="10" t="n"/>
      <x:c r="F14" s="10" t="n"/>
      <x:c r="G14" s="10" t="n"/>
      <x:c r="H14" s="10" t="n"/>
      <x:c r="I14" s="18">
        <x:f>IFERROR(F14/(F14+G14),"")</x:f>
      </x:c>
      <x:c r="J14" s="18">
        <x:f>IFERROR(F14/(F14+H14),"")</x:f>
      </x:c>
      <x:c r="K14" s="18">
        <x:f>IFERROR(2*I14*J14/(I14+J14),"")</x:f>
      </x:c>
      <x:c r="L14" s="10" t="n"/>
    </x:row>
    <x:row r="15">
      <x:c r="A15" s="9" t="inlineStr">
        <x:is>
          <x:t xml:space="preserve">Base</x:t>
        </x:is>
      </x:c>
      <x:c r="B15" s="9" t="inlineStr">
        <x:is>
          <x:t xml:space="preserve">occurs_on</x:t>
        </x:is>
      </x:c>
      <x:c r="C15" s="9" t="n">
        <x:v>7414</x:v>
      </x:c>
      <x:c r="D15" s="10" t="n"/>
      <x:c r="E15" s="10" t="n"/>
      <x:c r="F15" s="10" t="n"/>
      <x:c r="G15" s="10" t="n"/>
      <x:c r="H15" s="10" t="n"/>
      <x:c r="I15" s="18">
        <x:f>IFERROR(F15/(F15+G15),"")</x:f>
      </x:c>
      <x:c r="J15" s="18">
        <x:f>IFERROR(F15/(F15+H15),"")</x:f>
      </x:c>
      <x:c r="K15" s="18">
        <x:f>IFERROR(2*I15*J15/(I15+J15),"")</x:f>
      </x:c>
      <x:c r="L15" s="10" t="n"/>
    </x:row>
    <x:row r="16">
      <x:c r="A16" s="9" t="inlineStr">
        <x:is>
          <x:t xml:space="preserve">Base</x:t>
        </x:is>
      </x:c>
      <x:c r="B16" s="9" t="inlineStr">
        <x:is>
          <x:t xml:space="preserve">has_count</x:t>
        </x:is>
      </x:c>
      <x:c r="C16" s="9" t="n">
        <x:v>331</x:v>
      </x:c>
      <x:c r="D16" s="10" t="n"/>
      <x:c r="E16" s="10" t="n"/>
      <x:c r="F16" s="10" t="n"/>
      <x:c r="G16" s="10" t="n"/>
      <x:c r="H16" s="10" t="n"/>
      <x:c r="I16" s="18">
        <x:f>IFERROR(F16/(F16+G16),"")</x:f>
      </x:c>
      <x:c r="J16" s="18">
        <x:f>IFERROR(F16/(F16+H16),"")</x:f>
      </x:c>
      <x:c r="K16" s="18">
        <x:f>IFERROR(2*I16*J16/(I16+J16),"")</x:f>
      </x:c>
      <x:c r="L16" s="10" t="n"/>
    </x:row>
    <x:row r="17">
      <x:c r="A17" s="9" t="inlineStr">
        <x:is>
          <x:t xml:space="preserve">QLoRA-only</x:t>
        </x:is>
      </x:c>
      <x:c r="B17" s="9" t="inlineStr">
        <x:is>
          <x:t xml:space="preserve">tested_by</x:t>
        </x:is>
      </x:c>
      <x:c r="C17" s="9" t="n">
        <x:v>7455</x:v>
      </x:c>
      <x:c r="D17" s="10" t="n"/>
      <x:c r="E17" s="10" t="n"/>
      <x:c r="F17" s="10" t="n"/>
      <x:c r="G17" s="10" t="n"/>
      <x:c r="H17" s="10" t="n"/>
      <x:c r="I17" s="18">
        <x:f>IFERROR(F17/(F17+G17),"")</x:f>
      </x:c>
      <x:c r="J17" s="18">
        <x:f>IFERROR(F17/(F17+H17),"")</x:f>
      </x:c>
      <x:c r="K17" s="18">
        <x:f>IFERROR(2*I17*J17/(I17+J17),"")</x:f>
      </x:c>
      <x:c r="L17" s="10" t="n"/>
    </x:row>
    <x:row r="18">
      <x:c r="A18" s="9" t="inlineStr">
        <x:is>
          <x:t xml:space="preserve">QLoRA-only</x:t>
        </x:is>
      </x:c>
      <x:c r="B18" s="9" t="inlineStr">
        <x:is>
          <x:t xml:space="preserve">provided_by</x:t>
        </x:is>
      </x:c>
      <x:c r="C18" s="9" t="n">
        <x:v>4933</x:v>
      </x:c>
      <x:c r="D18" s="10" t="n"/>
      <x:c r="E18" s="10" t="n"/>
      <x:c r="F18" s="10" t="n"/>
      <x:c r="G18" s="10" t="n"/>
      <x:c r="H18" s="10" t="n"/>
      <x:c r="I18" s="18">
        <x:f>IFERROR(F18/(F18+G18),"")</x:f>
      </x:c>
      <x:c r="J18" s="18">
        <x:f>IFERROR(F18/(F18+H18),"")</x:f>
      </x:c>
      <x:c r="K18" s="18">
        <x:f>IFERROR(2*I18*J18/(I18+J18),"")</x:f>
      </x:c>
      <x:c r="L18" s="10" t="n"/>
    </x:row>
    <x:row r="19">
      <x:c r="A19" s="9" t="inlineStr">
        <x:is>
          <x:t xml:space="preserve">QLoRA-only</x:t>
        </x:is>
      </x:c>
      <x:c r="B19" s="9" t="inlineStr">
        <x:is>
          <x:t xml:space="preserve">provided_to</x:t>
        </x:is>
      </x:c>
      <x:c r="C19" s="9" t="n">
        <x:v>5059</x:v>
      </x:c>
      <x:c r="D19" s="10" t="n"/>
      <x:c r="E19" s="10" t="n"/>
      <x:c r="F19" s="10" t="n"/>
      <x:c r="G19" s="10" t="n"/>
      <x:c r="H19" s="10" t="n"/>
      <x:c r="I19" s="18">
        <x:f>IFERROR(F19/(F19+G19),"")</x:f>
      </x:c>
      <x:c r="J19" s="18">
        <x:f>IFERROR(F19/(F19+H19),"")</x:f>
      </x:c>
      <x:c r="K19" s="18">
        <x:f>IFERROR(2*I19*J19/(I19+J19),"")</x:f>
      </x:c>
      <x:c r="L19" s="10" t="n"/>
    </x:row>
    <x:row r="20">
      <x:c r="A20" s="9" t="inlineStr">
        <x:is>
          <x:t xml:space="preserve">QLoRA-only</x:t>
        </x:is>
      </x:c>
      <x:c r="B20" s="9" t="inlineStr">
        <x:is>
          <x:t xml:space="preserve">deployed_by</x:t>
        </x:is>
      </x:c>
      <x:c r="C20" s="9" t="n">
        <x:v>1330</x:v>
      </x:c>
      <x:c r="D20" s="10" t="n"/>
      <x:c r="E20" s="10" t="n"/>
      <x:c r="F20" s="10" t="n"/>
      <x:c r="G20" s="10" t="n"/>
      <x:c r="H20" s="10" t="n"/>
      <x:c r="I20" s="18">
        <x:f>IFERROR(F20/(F20+G20),"")</x:f>
      </x:c>
      <x:c r="J20" s="18">
        <x:f>IFERROR(F20/(F20+H20),"")</x:f>
      </x:c>
      <x:c r="K20" s="18">
        <x:f>IFERROR(2*I20*J20/(I20+J20),"")</x:f>
      </x:c>
      <x:c r="L20" s="10" t="n"/>
    </x:row>
    <x:row r="21">
      <x:c r="A21" s="9" t="inlineStr">
        <x:is>
          <x:t xml:space="preserve">QLoRA-only</x:t>
        </x:is>
      </x:c>
      <x:c r="B21" s="9" t="inlineStr">
        <x:is>
          <x:t xml:space="preserve">deployed_to</x:t>
        </x:is>
      </x:c>
      <x:c r="C21" s="9" t="n">
        <x:v>1079</x:v>
      </x:c>
      <x:c r="D21" s="10" t="n"/>
      <x:c r="E21" s="10" t="n"/>
      <x:c r="F21" s="10" t="n"/>
      <x:c r="G21" s="10" t="n"/>
      <x:c r="H21" s="10" t="n"/>
      <x:c r="I21" s="18">
        <x:f>IFERROR(F21/(F21+G21),"")</x:f>
      </x:c>
      <x:c r="J21" s="18">
        <x:f>IFERROR(F21/(F21+H21),"")</x:f>
      </x:c>
      <x:c r="K21" s="18">
        <x:f>IFERROR(2*I21*J21/(I21+J21),"")</x:f>
      </x:c>
      <x:c r="L21" s="10" t="n"/>
    </x:row>
    <x:row r="22">
      <x:c r="A22" s="9" t="inlineStr">
        <x:is>
          <x:t xml:space="preserve">QLoRA-only</x:t>
        </x:is>
      </x:c>
      <x:c r="B22" s="9" t="inlineStr">
        <x:is>
          <x:t xml:space="preserve">equipped_with</x:t>
        </x:is>
      </x:c>
      <x:c r="C22" s="9" t="n">
        <x:v>202</x:v>
      </x:c>
      <x:c r="D22" s="10" t="n"/>
      <x:c r="E22" s="10" t="n"/>
      <x:c r="F22" s="10" t="n"/>
      <x:c r="G22" s="10" t="n"/>
      <x:c r="H22" s="10" t="n"/>
      <x:c r="I22" s="18">
        <x:f>IFERROR(F22/(F22+G22),"")</x:f>
      </x:c>
      <x:c r="J22" s="18">
        <x:f>IFERROR(F22/(F22+H22),"")</x:f>
      </x:c>
      <x:c r="K22" s="18">
        <x:f>IFERROR(2*I22*J22/(I22+J22),"")</x:f>
      </x:c>
      <x:c r="L22" s="10" t="n"/>
    </x:row>
    <x:row r="23">
      <x:c r="A23" s="9" t="inlineStr">
        <x:is>
          <x:t xml:space="preserve">QLoRA-only</x:t>
        </x:is>
      </x:c>
      <x:c r="B23" s="9" t="inlineStr">
        <x:is>
          <x:t xml:space="preserve">targeted_at</x:t>
        </x:is>
      </x:c>
      <x:c r="C23" s="9" t="n">
        <x:v>322</x:v>
      </x:c>
      <x:c r="D23" s="10" t="n"/>
      <x:c r="E23" s="10" t="n"/>
      <x:c r="F23" s="10" t="n"/>
      <x:c r="G23" s="10" t="n"/>
      <x:c r="H23" s="10" t="n"/>
      <x:c r="I23" s="18">
        <x:f>IFERROR(F23/(F23+G23),"")</x:f>
      </x:c>
      <x:c r="J23" s="18">
        <x:f>IFERROR(F23/(F23+H23),"")</x:f>
      </x:c>
      <x:c r="K23" s="18">
        <x:f>IFERROR(2*I23*J23/(I23+J23),"")</x:f>
      </x:c>
      <x:c r="L23" s="10" t="n"/>
    </x:row>
    <x:row r="24">
      <x:c r="A24" s="9" t="inlineStr">
        <x:is>
          <x:t xml:space="preserve">QLoRA-only</x:t>
        </x:is>
      </x:c>
      <x:c r="B24" s="9" t="inlineStr">
        <x:is>
          <x:t xml:space="preserve">incident_with</x:t>
        </x:is>
      </x:c>
      <x:c r="C24" s="9" t="n">
        <x:v>56</x:v>
      </x:c>
      <x:c r="D24" s="10" t="n"/>
      <x:c r="E24" s="10" t="n"/>
      <x:c r="F24" s="10" t="n"/>
      <x:c r="G24" s="10" t="n"/>
      <x:c r="H24" s="10" t="n"/>
      <x:c r="I24" s="18">
        <x:f>IFERROR(F24/(F24+G24),"")</x:f>
      </x:c>
      <x:c r="J24" s="18">
        <x:f>IFERROR(F24/(F24+H24),"")</x:f>
      </x:c>
      <x:c r="K24" s="18">
        <x:f>IFERROR(2*I24*J24/(I24+J24),"")</x:f>
      </x:c>
      <x:c r="L24" s="10" t="n"/>
    </x:row>
    <x:row r="25">
      <x:c r="A25" s="9" t="inlineStr">
        <x:is>
          <x:t xml:space="preserve">QLoRA-only</x:t>
        </x:is>
      </x:c>
      <x:c r="B25" s="9" t="inlineStr">
        <x:is>
          <x:t xml:space="preserve">occurs_at</x:t>
        </x:is>
      </x:c>
      <x:c r="C25" s="9" t="n">
        <x:v>3375</x:v>
      </x:c>
      <x:c r="D25" s="10" t="n"/>
      <x:c r="E25" s="10" t="n"/>
      <x:c r="F25" s="10" t="n"/>
      <x:c r="G25" s="10" t="n"/>
      <x:c r="H25" s="10" t="n"/>
      <x:c r="I25" s="18">
        <x:f>IFERROR(F25/(F25+G25),"")</x:f>
      </x:c>
      <x:c r="J25" s="18">
        <x:f>IFERROR(F25/(F25+H25),"")</x:f>
      </x:c>
      <x:c r="K25" s="18">
        <x:f>IFERROR(2*I25*J25/(I25+J25),"")</x:f>
      </x:c>
      <x:c r="L25" s="10" t="n"/>
    </x:row>
    <x:row r="26">
      <x:c r="A26" s="9" t="inlineStr">
        <x:is>
          <x:t xml:space="preserve">QLoRA-only</x:t>
        </x:is>
      </x:c>
      <x:c r="B26" s="9" t="inlineStr">
        <x:is>
          <x:t xml:space="preserve">occurs_on</x:t>
        </x:is>
      </x:c>
      <x:c r="C26" s="9" t="n">
        <x:v>7414</x:v>
      </x:c>
      <x:c r="D26" s="10" t="n"/>
      <x:c r="E26" s="10" t="n"/>
      <x:c r="F26" s="10" t="n"/>
      <x:c r="G26" s="10" t="n"/>
      <x:c r="H26" s="10" t="n"/>
      <x:c r="I26" s="18">
        <x:f>IFERROR(F26/(F26+G26),"")</x:f>
      </x:c>
      <x:c r="J26" s="18">
        <x:f>IFERROR(F26/(F26+H26),"")</x:f>
      </x:c>
      <x:c r="K26" s="18">
        <x:f>IFERROR(2*I26*J26/(I26+J26),"")</x:f>
      </x:c>
      <x:c r="L26" s="10" t="n"/>
    </x:row>
    <x:row r="27">
      <x:c r="A27" s="9" t="inlineStr">
        <x:is>
          <x:t xml:space="preserve">QLoRA-only</x:t>
        </x:is>
      </x:c>
      <x:c r="B27" s="9" t="inlineStr">
        <x:is>
          <x:t xml:space="preserve">has_count</x:t>
        </x:is>
      </x:c>
      <x:c r="C27" s="9" t="n">
        <x:v>331</x:v>
      </x:c>
      <x:c r="D27" s="10" t="n"/>
      <x:c r="E27" s="10" t="n"/>
      <x:c r="F27" s="10" t="n"/>
      <x:c r="G27" s="10" t="n"/>
      <x:c r="H27" s="10" t="n"/>
      <x:c r="I27" s="18">
        <x:f>IFERROR(F27/(F27+G27),"")</x:f>
      </x:c>
      <x:c r="J27" s="18">
        <x:f>IFERROR(F27/(F27+H27),"")</x:f>
      </x:c>
      <x:c r="K27" s="18">
        <x:f>IFERROR(2*I27*J27/(I27+J27),"")</x:f>
      </x:c>
      <x:c r="L27" s="10" t="n"/>
    </x:row>
    <x:row r="28">
      <x:c r="A28" s="9" t="inlineStr">
        <x:is>
          <x:t xml:space="preserve">QLoRA+多候选评分(完整方法)</x:t>
        </x:is>
      </x:c>
      <x:c r="B28" s="9" t="inlineStr">
        <x:is>
          <x:t xml:space="preserve">tested_by</x:t>
        </x:is>
      </x:c>
      <x:c r="C28" s="9" t="n">
        <x:v>7455</x:v>
      </x:c>
      <x:c r="D28" s="10" t="n"/>
      <x:c r="E28" s="10" t="n"/>
      <x:c r="F28" s="10" t="n"/>
      <x:c r="G28" s="10" t="n"/>
      <x:c r="H28" s="10" t="n"/>
      <x:c r="I28" s="18">
        <x:f>IFERROR(F28/(F28+G28),"")</x:f>
      </x:c>
      <x:c r="J28" s="18">
        <x:f>IFERROR(F28/(F28+H28),"")</x:f>
      </x:c>
      <x:c r="K28" s="18">
        <x:f>IFERROR(2*I28*J28/(I28+J28),"")</x:f>
      </x:c>
      <x:c r="L28" s="10" t="n"/>
    </x:row>
    <x:row r="29">
      <x:c r="A29" s="9" t="inlineStr">
        <x:is>
          <x:t xml:space="preserve">QLoRA+多候选评分(完整方法)</x:t>
        </x:is>
      </x:c>
      <x:c r="B29" s="9" t="inlineStr">
        <x:is>
          <x:t xml:space="preserve">provided_by</x:t>
        </x:is>
      </x:c>
      <x:c r="C29" s="9" t="n">
        <x:v>4933</x:v>
      </x:c>
      <x:c r="D29" s="10" t="n"/>
      <x:c r="E29" s="10" t="n"/>
      <x:c r="F29" s="10" t="n"/>
      <x:c r="G29" s="10" t="n"/>
      <x:c r="H29" s="10" t="n"/>
      <x:c r="I29" s="18">
        <x:f>IFERROR(F29/(F29+G29),"")</x:f>
      </x:c>
      <x:c r="J29" s="18">
        <x:f>IFERROR(F29/(F29+H29),"")</x:f>
      </x:c>
      <x:c r="K29" s="18">
        <x:f>IFERROR(2*I29*J29/(I29+J29),"")</x:f>
      </x:c>
      <x:c r="L29" s="10" t="n"/>
    </x:row>
    <x:row r="30">
      <x:c r="A30" s="9" t="inlineStr">
        <x:is>
          <x:t xml:space="preserve">QLoRA+多候选评分(完整方法)</x:t>
        </x:is>
      </x:c>
      <x:c r="B30" s="9" t="inlineStr">
        <x:is>
          <x:t xml:space="preserve">provided_to</x:t>
        </x:is>
      </x:c>
      <x:c r="C30" s="9" t="n">
        <x:v>5059</x:v>
      </x:c>
      <x:c r="D30" s="10" t="n"/>
      <x:c r="E30" s="10" t="n"/>
      <x:c r="F30" s="10" t="n"/>
      <x:c r="G30" s="10" t="n"/>
      <x:c r="H30" s="10" t="n"/>
      <x:c r="I30" s="18">
        <x:f>IFERROR(F30/(F30+G30),"")</x:f>
      </x:c>
      <x:c r="J30" s="18">
        <x:f>IFERROR(F30/(F30+H30),"")</x:f>
      </x:c>
      <x:c r="K30" s="18">
        <x:f>IFERROR(2*I30*J30/(I30+J30),"")</x:f>
      </x:c>
      <x:c r="L30" s="10" t="n"/>
    </x:row>
    <x:row r="31">
      <x:c r="A31" s="9" t="inlineStr">
        <x:is>
          <x:t xml:space="preserve">QLoRA+多候选评分(完整方法)</x:t>
        </x:is>
      </x:c>
      <x:c r="B31" s="9" t="inlineStr">
        <x:is>
          <x:t xml:space="preserve">deployed_by</x:t>
        </x:is>
      </x:c>
      <x:c r="C31" s="9" t="n">
        <x:v>1330</x:v>
      </x:c>
      <x:c r="D31" s="10" t="n"/>
      <x:c r="E31" s="10" t="n"/>
      <x:c r="F31" s="10" t="n"/>
      <x:c r="G31" s="10" t="n"/>
      <x:c r="H31" s="10" t="n"/>
      <x:c r="I31" s="18">
        <x:f>IFERROR(F31/(F31+G31),"")</x:f>
      </x:c>
      <x:c r="J31" s="18">
        <x:f>IFERROR(F31/(F31+H31),"")</x:f>
      </x:c>
      <x:c r="K31" s="18">
        <x:f>IFERROR(2*I31*J31/(I31+J31),"")</x:f>
      </x:c>
      <x:c r="L31" s="10" t="n"/>
    </x:row>
    <x:row r="32">
      <x:c r="A32" s="9" t="inlineStr">
        <x:is>
          <x:t xml:space="preserve">QLoRA+多候选评分(完整方法)</x:t>
        </x:is>
      </x:c>
      <x:c r="B32" s="9" t="inlineStr">
        <x:is>
          <x:t xml:space="preserve">deployed_to</x:t>
        </x:is>
      </x:c>
      <x:c r="C32" s="9" t="n">
        <x:v>1079</x:v>
      </x:c>
      <x:c r="D32" s="10" t="n"/>
      <x:c r="E32" s="10" t="n"/>
      <x:c r="F32" s="10" t="n"/>
      <x:c r="G32" s="10" t="n"/>
      <x:c r="H32" s="10" t="n"/>
      <x:c r="I32" s="18">
        <x:f>IFERROR(F32/(F32+G32),"")</x:f>
      </x:c>
      <x:c r="J32" s="18">
        <x:f>IFERROR(F32/(F32+H32),"")</x:f>
      </x:c>
      <x:c r="K32" s="18">
        <x:f>IFERROR(2*I32*J32/(I32+J32),"")</x:f>
      </x:c>
      <x:c r="L32" s="10" t="n"/>
    </x:row>
    <x:row r="33">
      <x:c r="A33" s="9" t="inlineStr">
        <x:is>
          <x:t xml:space="preserve">QLoRA+多候选评分(完整方法)</x:t>
        </x:is>
      </x:c>
      <x:c r="B33" s="9" t="inlineStr">
        <x:is>
          <x:t xml:space="preserve">equipped_with</x:t>
        </x:is>
      </x:c>
      <x:c r="C33" s="9" t="n">
        <x:v>202</x:v>
      </x:c>
      <x:c r="D33" s="10" t="n"/>
      <x:c r="E33" s="10" t="n"/>
      <x:c r="F33" s="10" t="n"/>
      <x:c r="G33" s="10" t="n"/>
      <x:c r="H33" s="10" t="n"/>
      <x:c r="I33" s="18">
        <x:f>IFERROR(F33/(F33+G33),"")</x:f>
      </x:c>
      <x:c r="J33" s="18">
        <x:f>IFERROR(F33/(F33+H33),"")</x:f>
      </x:c>
      <x:c r="K33" s="18">
        <x:f>IFERROR(2*I33*J33/(I33+J33),"")</x:f>
      </x:c>
      <x:c r="L33" s="10" t="n"/>
    </x:row>
    <x:row r="34">
      <x:c r="A34" s="9" t="inlineStr">
        <x:is>
          <x:t xml:space="preserve">QLoRA+多候选评分(完整方法)</x:t>
        </x:is>
      </x:c>
      <x:c r="B34" s="9" t="inlineStr">
        <x:is>
          <x:t xml:space="preserve">targeted_at</x:t>
        </x:is>
      </x:c>
      <x:c r="C34" s="9" t="n">
        <x:v>322</x:v>
      </x:c>
      <x:c r="D34" s="10" t="n"/>
      <x:c r="E34" s="10" t="n"/>
      <x:c r="F34" s="10" t="n"/>
      <x:c r="G34" s="10" t="n"/>
      <x:c r="H34" s="10" t="n"/>
      <x:c r="I34" s="18">
        <x:f>IFERROR(F34/(F34+G34),"")</x:f>
      </x:c>
      <x:c r="J34" s="18">
        <x:f>IFERROR(F34/(F34+H34),"")</x:f>
      </x:c>
      <x:c r="K34" s="18">
        <x:f>IFERROR(2*I34*J34/(I34+J34),"")</x:f>
      </x:c>
      <x:c r="L34" s="10" t="n"/>
    </x:row>
    <x:row r="35">
      <x:c r="A35" s="9" t="inlineStr">
        <x:is>
          <x:t xml:space="preserve">QLoRA+多候选评分(完整方法)</x:t>
        </x:is>
      </x:c>
      <x:c r="B35" s="9" t="inlineStr">
        <x:is>
          <x:t xml:space="preserve">incident_with</x:t>
        </x:is>
      </x:c>
      <x:c r="C35" s="9" t="n">
        <x:v>56</x:v>
      </x:c>
      <x:c r="D35" s="10" t="n"/>
      <x:c r="E35" s="10" t="n"/>
      <x:c r="F35" s="10" t="n"/>
      <x:c r="G35" s="10" t="n"/>
      <x:c r="H35" s="10" t="n"/>
      <x:c r="I35" s="18">
        <x:f>IFERROR(F35/(F35+G35),"")</x:f>
      </x:c>
      <x:c r="J35" s="18">
        <x:f>IFERROR(F35/(F35+H35),"")</x:f>
      </x:c>
      <x:c r="K35" s="18">
        <x:f>IFERROR(2*I35*J35/(I35+J35),"")</x:f>
      </x:c>
      <x:c r="L35" s="10" t="n"/>
    </x:row>
    <x:row r="36">
      <x:c r="A36" s="9" t="inlineStr">
        <x:is>
          <x:t xml:space="preserve">QLoRA+多候选评分(完整方法)</x:t>
        </x:is>
      </x:c>
      <x:c r="B36" s="9" t="inlineStr">
        <x:is>
          <x:t xml:space="preserve">occurs_at</x:t>
        </x:is>
      </x:c>
      <x:c r="C36" s="9" t="n">
        <x:v>3375</x:v>
      </x:c>
      <x:c r="D36" s="10" t="n"/>
      <x:c r="E36" s="10" t="n"/>
      <x:c r="F36" s="10" t="n"/>
      <x:c r="G36" s="10" t="n"/>
      <x:c r="H36" s="10" t="n"/>
      <x:c r="I36" s="18">
        <x:f>IFERROR(F36/(F36+G36),"")</x:f>
      </x:c>
      <x:c r="J36" s="18">
        <x:f>IFERROR(F36/(F36+H36),"")</x:f>
      </x:c>
      <x:c r="K36" s="18">
        <x:f>IFERROR(2*I36*J36/(I36+J36),"")</x:f>
      </x:c>
      <x:c r="L36" s="10" t="n"/>
    </x:row>
    <x:row r="37">
      <x:c r="A37" s="9" t="inlineStr">
        <x:is>
          <x:t xml:space="preserve">QLoRA+多候选评分(完整方法)</x:t>
        </x:is>
      </x:c>
      <x:c r="B37" s="9" t="inlineStr">
        <x:is>
          <x:t xml:space="preserve">occurs_on</x:t>
        </x:is>
      </x:c>
      <x:c r="C37" s="9" t="n">
        <x:v>7414</x:v>
      </x:c>
      <x:c r="D37" s="10" t="n"/>
      <x:c r="E37" s="10" t="n"/>
      <x:c r="F37" s="10" t="n"/>
      <x:c r="G37" s="10" t="n"/>
      <x:c r="H37" s="10" t="n"/>
      <x:c r="I37" s="18">
        <x:f>IFERROR(F37/(F37+G37),"")</x:f>
      </x:c>
      <x:c r="J37" s="18">
        <x:f>IFERROR(F37/(F37+H37),"")</x:f>
      </x:c>
      <x:c r="K37" s="18">
        <x:f>IFERROR(2*I37*J37/(I37+J37),"")</x:f>
      </x:c>
      <x:c r="L37" s="10" t="n"/>
    </x:row>
    <x:row r="38">
      <x:c r="A38" s="9" t="inlineStr">
        <x:is>
          <x:t xml:space="preserve">QLoRA+多候选评分(完整方法)</x:t>
        </x:is>
      </x:c>
      <x:c r="B38" s="9" t="inlineStr">
        <x:is>
          <x:t xml:space="preserve">has_count</x:t>
        </x:is>
      </x:c>
      <x:c r="C38" s="9" t="n">
        <x:v>331</x:v>
      </x:c>
      <x:c r="D38" s="10" t="n"/>
      <x:c r="E38" s="10" t="n"/>
      <x:c r="F38" s="10" t="n"/>
      <x:c r="G38" s="10" t="n"/>
      <x:c r="H38" s="10" t="n"/>
      <x:c r="I38" s="18">
        <x:f>IFERROR(F38/(F38+G38),"")</x:f>
      </x:c>
      <x:c r="J38" s="18">
        <x:f>IFERROR(F38/(F38+H38),"")</x:f>
      </x:c>
      <x:c r="K38" s="18">
        <x:f>IFERROR(2*I38*J38/(I38+J38),"")</x:f>
      </x:c>
      <x:c r="L38" s="10" t="n"/>
    </x:row>
  </x:sheetData>
  <x:mergeCells>
    <x:mergeCell ref="A2:L2"/>
    <x:mergeCell ref="A1:L1"/>
    <x:mergeCell ref="A4:L4"/>
  </x:mergeCells>
  <x:dataValidations count="2">
    <x:dataValidation type="list" allowBlank="1" showDropDown="0" showInputMessage="0" showErrorMessage="0" sqref="A6:A8 A6:A38 B6:B12">
      <x:formula1>=lists!$A$1:$A$8</x:formula1>
    </x:dataValidation>
    <x:dataValidation type="list" allowBlank="1" showDropDown="0" showInputMessage="0" showErrorMessage="0" sqref="B6:B38">
      <x:formula1>=lists!$B$1:$B$11</x:formula1>
    </x:dataValidation>
  </x:dataValidations>
  <x:pageMargins left="0.7" right="0.7" top="0.75" bottom="0.75" header="0.3" footer="0.3"/>
  <x:legacyDrawing xmlns:r="http://schemas.openxmlformats.org/officeDocument/2006/relationships" r:id="R9934313f9bca4831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2" customWidth="1"/>
    <x:col min="3" max="3" width="14" customWidth="1"/>
    <x:col min="4" max="4" width="12" customWidth="1"/>
    <x:col min="5" max="5" width="10" customWidth="1"/>
    <x:col min="6" max="6" width="16" customWidth="1"/>
    <x:col min="7" max="7" width="15" customWidth="1"/>
    <x:col min="8" max="8" width="12" customWidth="1"/>
    <x:col min="9" max="9" width="16" customWidth="1"/>
    <x:col min="10" max="10" width="12" customWidth="1"/>
    <x:col min="11" max="11" width="10" customWidth="1"/>
    <x:col min="12" max="12" width="12" customWidth="1"/>
    <x:col min="13" max="13" width="10" customWidth="1"/>
    <x:col min="14" max="14" width="12" customWidth="1"/>
    <x:col min="15" max="15" width="20" customWidth="1"/>
  </x:cols>
  <x:sheetData>
    <x:row r="1" ht="24" customHeight="1">
      <x:c r="A1" s="1" t="inlineStr">
        <x:is>
          <x:t xml:space="preserve">结构可控性与错误类型统计</x:t>
        </x:is>
      </x:c>
    </x:row>
    <x:row r="2">
      <x:c r="A2" s="2" t="inlineStr">
        <x:is>
          <x:t xml:space="preserve">本表建议在同一测试集或固定评测子集上统计，用来支撑“本体约束+多候选评分提高结构合法性与可用性”的分析。</x:t>
        </x:is>
      </x:c>
    </x:row>
    <x:row r="4" ht="22" customHeight="1">
      <x:c r="A4" s="3" t="inlineStr">
        <x:is>
          <x:t xml:space="preserve">结构合法性 / 规则一致性 / 典型错误类型</x:t>
        </x:is>
      </x:c>
    </x:row>
    <x:row r="5">
      <x:c r="A5" s="8" t="inlineStr">
        <x:is>
          <x:t xml:space="preserve">方法组</x:t>
        </x:is>
      </x:c>
      <x:c r="B5" s="8" t="inlineStr">
        <x:is>
          <x:t xml:space="preserve">评测样本数</x:t>
        </x:is>
      </x:c>
      <x:c r="C5" s="8" t="inlineStr">
        <x:is>
          <x:t xml:space="preserve">总预测三元组数</x:t>
        </x:is>
      </x:c>
      <x:c r="D5" s="8" t="inlineStr">
        <x:is>
          <x:t xml:space="preserve">可解析样本数</x:t>
        </x:is>
      </x:c>
      <x:c r="E5" s="8" t="inlineStr">
        <x:is>
          <x:t xml:space="preserve">可解析率</x:t>
        </x:is>
      </x:c>
      <x:c r="F5" s="8" t="inlineStr">
        <x:is>
          <x:t xml:space="preserve">非法关系标签三元组数</x:t>
        </x:is>
      </x:c>
      <x:c r="G5" s="8" t="inlineStr">
        <x:is>
          <x:t xml:space="preserve">Schema非法三元组数</x:t>
        </x:is>
      </x:c>
      <x:c r="H5" s="8" t="inlineStr">
        <x:is>
          <x:t xml:space="preserve">重复三元组数</x:t>
        </x:is>
      </x:c>
      <x:c r="I5" s="8" t="inlineStr">
        <x:is>
          <x:t xml:space="preserve">实体边界异常三元组数</x:t>
        </x:is>
      </x:c>
      <x:c r="J5" s="8" t="inlineStr">
        <x:is>
          <x:t xml:space="preserve">幻觉三元组数</x:t>
        </x:is>
      </x:c>
      <x:c r="K5" s="8" t="inlineStr">
        <x:is>
          <x:t xml:space="preserve">幻觉率</x:t>
        </x:is>
      </x:c>
      <x:c r="L5" s="8" t="inlineStr">
        <x:is>
          <x:t xml:space="preserve">合规样本数</x:t>
        </x:is>
      </x:c>
      <x:c r="M5" s="8" t="inlineStr">
        <x:is>
          <x:t xml:space="preserve">合规率</x:t>
        </x:is>
      </x:c>
      <x:c r="N5" s="8" t="inlineStr">
        <x:is>
          <x:t xml:space="preserve">空输出样本数</x:t>
        </x:is>
      </x:c>
      <x:c r="O5" s="8" t="inlineStr">
        <x:is>
          <x:t xml:space="preserve">备注</x:t>
        </x:is>
      </x:c>
    </x:row>
    <x:row r="6">
      <x:c r="A6" s="9" t="inlineStr">
        <x:is>
          <x:t xml:space="preserve">Base</x:t>
        </x:is>
      </x:c>
      <x:c r="B6" s="10" t="n"/>
      <x:c r="C6" s="10" t="n"/>
      <x:c r="D6" s="10" t="n"/>
      <x:c r="E6" s="18">
        <x:f>IFERROR(D6/B6,"")</x:f>
      </x:c>
      <x:c r="F6" s="10" t="n"/>
      <x:c r="G6" s="10" t="n"/>
      <x:c r="H6" s="10" t="n"/>
      <x:c r="I6" s="10" t="n"/>
      <x:c r="J6" s="10" t="n"/>
      <x:c r="K6" s="18">
        <x:f>IFERROR(J6/C6,"")</x:f>
      </x:c>
      <x:c r="L6" s="10" t="n"/>
      <x:c r="M6" s="18">
        <x:f>IFERROR(L6/B6,"")</x:f>
      </x:c>
      <x:c r="N6" s="10" t="n"/>
      <x:c r="O6" s="10" t="n"/>
    </x:row>
    <x:row r="7">
      <x:c r="A7" s="9" t="inlineStr">
        <x:is>
          <x:t xml:space="preserve">QLoRA-only</x:t>
        </x:is>
      </x:c>
      <x:c r="B7" s="10" t="n"/>
      <x:c r="C7" s="10" t="n"/>
      <x:c r="D7" s="10" t="n"/>
      <x:c r="E7" s="18">
        <x:f>IFERROR(D7/B7,"")</x:f>
      </x:c>
      <x:c r="F7" s="10" t="n"/>
      <x:c r="G7" s="10" t="n"/>
      <x:c r="H7" s="10" t="n"/>
      <x:c r="I7" s="10" t="n"/>
      <x:c r="J7" s="10" t="n"/>
      <x:c r="K7" s="18">
        <x:f>IFERROR(J7/C7,"")</x:f>
      </x:c>
      <x:c r="L7" s="10" t="n"/>
      <x:c r="M7" s="18">
        <x:f>IFERROR(L7/B7,"")</x:f>
      </x:c>
      <x:c r="N7" s="10" t="n"/>
      <x:c r="O7" s="10" t="n"/>
    </x:row>
    <x:row r="8">
      <x:c r="A8" s="9" t="inlineStr">
        <x:is>
          <x:t xml:space="preserve">QLoRA+多候选评分(完整方法)</x:t>
        </x:is>
      </x:c>
      <x:c r="B8" s="10" t="n"/>
      <x:c r="C8" s="10" t="n"/>
      <x:c r="D8" s="10" t="n"/>
      <x:c r="E8" s="18">
        <x:f>IFERROR(D8/B8,"")</x:f>
      </x:c>
      <x:c r="F8" s="10" t="n"/>
      <x:c r="G8" s="10" t="n"/>
      <x:c r="H8" s="10" t="n"/>
      <x:c r="I8" s="10" t="n"/>
      <x:c r="J8" s="10" t="n"/>
      <x:c r="K8" s="18">
        <x:f>IFERROR(J8/C8,"")</x:f>
      </x:c>
      <x:c r="L8" s="10" t="n"/>
      <x:c r="M8" s="18">
        <x:f>IFERROR(L8/B8,"")</x:f>
      </x:c>
      <x:c r="N8" s="10" t="n"/>
      <x:c r="O8" s="10" t="n"/>
    </x:row>
  </x:sheetData>
  <x:mergeCells>
    <x:mergeCell ref="A1:O1"/>
    <x:mergeCell ref="A4:O4"/>
    <x:mergeCell ref="A2:O2"/>
  </x:mergeCells>
  <x:dataValidations count="1">
    <x:dataValidation type="list" allowBlank="1" showDropDown="0" showInputMessage="0" showErrorMessage="0" sqref="A6:A8 A6:A38 B6:B12">
      <x:formula1>=lists!$A$1:$A$8</x:formula1>
    </x:dataValidation>
  </x:dataValidations>
  <x:pageMargins left="0.7" right="0.7" top="0.75" bottom="0.75" header="0.3" footer="0.3"/>
  <x:legacyDrawing xmlns:r="http://schemas.openxmlformats.org/officeDocument/2006/relationships" r:id="Rf72711ac5dc3482a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2" customWidth="1"/>
    <x:col min="3" max="3" width="14" customWidth="1"/>
    <x:col min="4" max="4" width="16" customWidth="1"/>
    <x:col min="5" max="5" width="13" customWidth="1"/>
    <x:col min="6" max="6" width="12" customWidth="1"/>
    <x:col min="7" max="7" width="12" customWidth="1"/>
    <x:col min="8" max="8" width="14" customWidth="1"/>
    <x:col min="9" max="9" width="10" customWidth="1"/>
    <x:col min="10" max="10" width="14" customWidth="1"/>
    <x:col min="11" max="11" width="18" customWidth="1"/>
    <x:col min="12" max="12" width="18" customWidth="1"/>
    <x:col min="13" max="13" width="10" customWidth="1"/>
    <x:col min="14" max="14" width="10" customWidth="1"/>
    <x:col min="15" max="15" width="10" customWidth="1"/>
    <x:col min="16" max="16" width="18" customWidth="1"/>
  </x:cols>
  <x:sheetData>
    <x:row r="1" ht="24" customHeight="1">
      <x:c r="A1" s="1" t="inlineStr">
        <x:is>
          <x:t xml:space="preserve">重复运行稳定性与本地部署成本</x:t>
        </x:is>
      </x:c>
    </x:row>
    <x:row r="2">
      <x:c r="A2" s="2" t="inlineStr">
        <x:is>
          <x:t xml:space="preserve">建议在固定 100 样本上重复运行 3 次记录稳定性；成本部分建议分别记录训练阶段与推理阶段的时间、显存、吞吐与 token 开销。</x:t>
        </x:is>
      </x:c>
    </x:row>
    <x:row r="4" ht="22" customHeight="1">
      <x:c r="A4" s="3" t="inlineStr">
        <x:is>
          <x:t xml:space="preserve">A. 重复运行稳定性（同参数 3 次）</x:t>
        </x:is>
      </x:c>
    </x:row>
    <x:row r="5">
      <x:c r="A5" s="8" t="inlineStr">
        <x:is>
          <x:t xml:space="preserve">方法组</x:t>
        </x:is>
      </x:c>
      <x:c r="B5" s="8" t="inlineStr">
        <x:is>
          <x:t xml:space="preserve">评测样本数</x:t>
        </x:is>
      </x:c>
      <x:c r="C5" s="8" t="inlineStr">
        <x:is>
          <x:t xml:space="preserve">一致样本数</x:t>
        </x:is>
      </x:c>
      <x:c r="D5" s="8" t="inlineStr">
        <x:is>
          <x:t xml:space="preserve">一致率</x:t>
        </x:is>
      </x:c>
      <x:c r="E5" s="8" t="inlineStr">
        <x:is>
          <x:t xml:space="preserve">Run1 P</x:t>
        </x:is>
      </x:c>
      <x:c r="F5" s="8" t="inlineStr">
        <x:is>
          <x:t xml:space="preserve">Run1 R</x:t>
        </x:is>
      </x:c>
      <x:c r="G5" s="8" t="inlineStr">
        <x:is>
          <x:t xml:space="preserve">Run1 F1</x:t>
        </x:is>
      </x:c>
      <x:c r="H5" s="8" t="inlineStr">
        <x:is>
          <x:t xml:space="preserve">Run2 P</x:t>
        </x:is>
      </x:c>
      <x:c r="I5" s="8" t="inlineStr">
        <x:is>
          <x:t xml:space="preserve">Run2 R</x:t>
        </x:is>
      </x:c>
      <x:c r="J5" s="8" t="inlineStr">
        <x:is>
          <x:t xml:space="preserve">Run2 F1</x:t>
        </x:is>
      </x:c>
      <x:c r="K5" s="8" t="inlineStr">
        <x:is>
          <x:t xml:space="preserve">Run3 P</x:t>
        </x:is>
      </x:c>
      <x:c r="L5" s="8" t="inlineStr">
        <x:is>
          <x:t xml:space="preserve">Run3 R</x:t>
        </x:is>
      </x:c>
      <x:c r="M5" s="8" t="inlineStr">
        <x:is>
          <x:t xml:space="preserve">Run3 F1</x:t>
        </x:is>
      </x:c>
      <x:c r="N5" s="8" t="inlineStr">
        <x:is>
          <x:t xml:space="preserve">Mean F1</x:t>
        </x:is>
      </x:c>
      <x:c r="O5" s="8" t="inlineStr">
        <x:is>
          <x:t xml:space="preserve">Std F1</x:t>
        </x:is>
      </x:c>
      <x:c r="P5" s="8" t="inlineStr">
        <x:is>
          <x:t xml:space="preserve">备注</x:t>
        </x:is>
      </x:c>
    </x:row>
    <x:row r="6">
      <x:c r="A6" s="9" t="inlineStr">
        <x:is>
          <x:t xml:space="preserve">Base</x:t>
        </x:is>
      </x:c>
      <x:c r="B6" s="10" t="n">
        <x:v>100</x:v>
      </x:c>
      <x:c r="C6" s="10" t="n"/>
      <x:c r="D6" s="18">
        <x:f>IFERROR(C6/B6,"")</x:f>
        <x:v>0</x:v>
      </x:c>
      <x:c r="E6" s="20" t="n"/>
      <x:c r="F6" s="20" t="n"/>
      <x:c r="G6" s="20" t="n"/>
      <x:c r="H6" s="20" t="n"/>
      <x:c r="I6" s="20" t="n"/>
      <x:c r="J6" s="20" t="n"/>
      <x:c r="K6" s="20" t="n"/>
      <x:c r="L6" s="20" t="n"/>
      <x:c r="M6" s="20" t="n"/>
      <x:c r="N6" s="18">
        <x:f>IFERROR(AVERAGE(G6,J6,M6),"")</x:f>
        <x:v>0</x:v>
      </x:c>
      <x:c r="O6" s="21">
        <x:f>IFERROR(STDEV.P(G6,J6,M6),"")</x:f>
      </x:c>
      <x:c r="P6" s="10" t="n"/>
    </x:row>
    <x:row r="7">
      <x:c r="A7" s="9" t="inlineStr">
        <x:is>
          <x:t xml:space="preserve">QLoRA-only</x:t>
        </x:is>
      </x:c>
      <x:c r="B7" s="10" t="n">
        <x:v>100</x:v>
      </x:c>
      <x:c r="C7" s="10" t="n"/>
      <x:c r="D7" s="18">
        <x:f>IFERROR(C7/B7,"")</x:f>
        <x:v>0</x:v>
      </x:c>
      <x:c r="E7" s="20" t="n"/>
      <x:c r="F7" s="20" t="n"/>
      <x:c r="G7" s="20" t="n"/>
      <x:c r="H7" s="20" t="n"/>
      <x:c r="I7" s="20" t="n"/>
      <x:c r="J7" s="20" t="n"/>
      <x:c r="K7" s="20" t="n"/>
      <x:c r="L7" s="20" t="n"/>
      <x:c r="M7" s="20" t="n"/>
      <x:c r="N7" s="18">
        <x:f>IFERROR(AVERAGE(G7,J7,M7),"")</x:f>
        <x:v>0</x:v>
      </x:c>
      <x:c r="O7" s="21">
        <x:f>IFERROR(STDEV.P(G7,J7,M7),"")</x:f>
      </x:c>
      <x:c r="P7" s="10" t="n"/>
    </x:row>
    <x:row r="8">
      <x:c r="A8" s="9" t="inlineStr">
        <x:is>
          <x:t xml:space="preserve">QLoRA+多候选评分(完整方法)</x:t>
        </x:is>
      </x:c>
      <x:c r="B8" s="10" t="n">
        <x:v>100</x:v>
      </x:c>
      <x:c r="C8" s="10" t="n"/>
      <x:c r="D8" s="18">
        <x:f>IFERROR(C8/B8,"")</x:f>
        <x:v>0</x:v>
      </x:c>
      <x:c r="E8" s="20" t="n"/>
      <x:c r="F8" s="20" t="n"/>
      <x:c r="G8" s="20" t="n"/>
      <x:c r="H8" s="20" t="n"/>
      <x:c r="I8" s="20" t="n"/>
      <x:c r="J8" s="20" t="n"/>
      <x:c r="K8" s="20" t="n"/>
      <x:c r="L8" s="20" t="n"/>
      <x:c r="M8" s="20" t="n"/>
      <x:c r="N8" s="18">
        <x:f>IFERROR(AVERAGE(G8,J8,M8),"")</x:f>
        <x:v>0</x:v>
      </x:c>
      <x:c r="O8" s="21">
        <x:f>IFERROR(STDEV.P(G8,J8,M8),"")</x:f>
      </x:c>
      <x:c r="P8" s="10" t="n"/>
    </x:row>
    <x:row r="11" ht="22" customHeight="1">
      <x:c r="A11" s="3" t="inlineStr">
        <x:is>
          <x:t xml:space="preserve">B. 训练与部署成本</x:t>
        </x:is>
      </x:c>
    </x:row>
    <x:row r="12">
      <x:c r="A12" s="8" t="inlineStr">
        <x:is>
          <x:t xml:space="preserve">方法组</x:t>
        </x:is>
      </x:c>
      <x:c r="B12" s="8" t="inlineStr">
        <x:is>
          <x:t xml:space="preserve">训练耗时(h)</x:t>
        </x:is>
      </x:c>
      <x:c r="C12" s="8" t="inlineStr">
        <x:is>
          <x:t xml:space="preserve">训练峰值显存(GB)</x:t>
        </x:is>
      </x:c>
      <x:c r="D12" s="8" t="inlineStr">
        <x:is>
          <x:t xml:space="preserve">单样本平均推理耗时(ms)</x:t>
        </x:is>
      </x:c>
      <x:c r="E12" s="8" t="inlineStr">
        <x:is>
          <x:t xml:space="preserve">吞吐(samples/s)</x:t>
        </x:is>
      </x:c>
      <x:c r="F12" s="8" t="inlineStr">
        <x:is>
          <x:t xml:space="preserve">平均输入tokens</x:t>
        </x:is>
      </x:c>
      <x:c r="G12" s="8" t="inlineStr">
        <x:is>
          <x:t xml:space="preserve">平均输出tokens</x:t>
        </x:is>
      </x:c>
      <x:c r="H12" s="8" t="inlineStr">
        <x:is>
          <x:t xml:space="preserve">推理峰值显存(GB)</x:t>
        </x:is>
      </x:c>
      <x:c r="I12" s="8" t="inlineStr">
        <x:is>
          <x:t xml:space="preserve">候选数K</x:t>
        </x:is>
      </x:c>
      <x:c r="J12" s="8" t="inlineStr">
        <x:is>
          <x:t xml:space="preserve">约束后平均K'</x:t>
        </x:is>
      </x:c>
      <x:c r="K12" s="8" t="inlineStr">
        <x:is>
          <x:t xml:space="preserve">评分/重排序附加耗时(ms)</x:t>
        </x:is>
      </x:c>
      <x:c r="L12" s="8" t="inlineStr">
        <x:is>
          <x:t xml:space="preserve">备注</x:t>
        </x:is>
      </x:c>
    </x:row>
    <x:row r="13">
      <x:c r="A13" s="9" t="inlineStr">
        <x:is>
          <x:t xml:space="preserve">Base</x:t>
        </x:is>
      </x:c>
      <x:c r="B13" s="19" t="n"/>
      <x:c r="C13" s="19" t="n"/>
      <x:c r="D13" s="19" t="n"/>
      <x:c r="E13" s="19" t="n"/>
      <x:c r="F13" s="10" t="n"/>
      <x:c r="G13" s="10" t="n"/>
      <x:c r="H13" s="19" t="n"/>
      <x:c r="I13" s="10" t="n"/>
      <x:c r="J13" s="10" t="n"/>
      <x:c r="K13" s="19" t="n"/>
      <x:c r="L13" s="10" t="n"/>
      <x:c r="M13" s="13" t="n"/>
      <x:c r="N13" s="13" t="n"/>
      <x:c r="O13" s="13" t="n"/>
      <x:c r="P13" s="13" t="n"/>
    </x:row>
    <x:row r="14">
      <x:c r="A14" s="9" t="inlineStr">
        <x:is>
          <x:t xml:space="preserve">QLoRA-only</x:t>
        </x:is>
      </x:c>
      <x:c r="B14" s="19" t="n"/>
      <x:c r="C14" s="19" t="n"/>
      <x:c r="D14" s="19" t="n"/>
      <x:c r="E14" s="19" t="n"/>
      <x:c r="F14" s="10" t="n"/>
      <x:c r="G14" s="10" t="n"/>
      <x:c r="H14" s="19" t="n"/>
      <x:c r="I14" s="10" t="n"/>
      <x:c r="J14" s="10" t="n"/>
      <x:c r="K14" s="19" t="n"/>
      <x:c r="L14" s="10" t="n"/>
      <x:c r="M14" s="13" t="n"/>
      <x:c r="N14" s="13" t="n"/>
      <x:c r="O14" s="13" t="n"/>
      <x:c r="P14" s="13" t="n"/>
    </x:row>
    <x:row r="15">
      <x:c r="A15" s="9" t="inlineStr">
        <x:is>
          <x:t xml:space="preserve">QLoRA+多候选评分(完整方法)</x:t>
        </x:is>
      </x:c>
      <x:c r="B15" s="19" t="n"/>
      <x:c r="C15" s="19" t="n"/>
      <x:c r="D15" s="19" t="n"/>
      <x:c r="E15" s="19" t="n"/>
      <x:c r="F15" s="10" t="n"/>
      <x:c r="G15" s="10" t="n"/>
      <x:c r="H15" s="19" t="n"/>
      <x:c r="I15" s="10" t="n"/>
      <x:c r="J15" s="10" t="n"/>
      <x:c r="K15" s="19" t="n"/>
      <x:c r="L15" s="10" t="n"/>
      <x:c r="M15" s="13" t="n"/>
      <x:c r="N15" s="13" t="n"/>
      <x:c r="O15" s="13" t="n"/>
      <x:c r="P15" s="13" t="n"/>
    </x:row>
  </x:sheetData>
  <x:mergeCells>
    <x:mergeCell ref="A11:P11"/>
    <x:mergeCell ref="A1:P1"/>
    <x:mergeCell ref="A4:P4"/>
    <x:mergeCell ref="A2:P2"/>
  </x:mergeCells>
  <x:dataValidations count="2">
    <x:dataValidation type="list" allowBlank="1" showDropDown="0" showInputMessage="0" showErrorMessage="0" sqref="A6:A8 A6:A38 B6:B12">
      <x:formula1>=lists!$A$1:$A$8</x:formula1>
    </x:dataValidation>
    <x:dataValidation type="list" allowBlank="1" showDropDown="0" showInputMessage="0" showErrorMessage="0" sqref="A6:A8 A6:A38 B6:B12">
      <x:formula1>=lists!$A$1:$A$8</x:formula1>
    </x:dataValidation>
  </x:dataValidations>
  <x:pageMargins left="0.7" right="0.7" top="0.75" bottom="0.75" header="0.3" footer="0.3"/>
  <x:legacyDrawing xmlns:r="http://schemas.openxmlformats.org/officeDocument/2006/relationships" r:id="R384852c293b54a67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8" customWidth="1"/>
    <x:col min="3" max="3" width="10" customWidth="1"/>
    <x:col min="4" max="4" width="8" customWidth="1"/>
    <x:col min="5" max="5" width="8" customWidth="1"/>
    <x:col min="6" max="6" width="8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4" customWidth="1"/>
    <x:col min="14" max="14" width="30" customWidth="1"/>
  </x:cols>
  <x:sheetData>
    <x:row r="1" ht="24" customHeight="1">
      <x:c r="A1" s="1" t="inlineStr">
        <x:is>
          <x:t xml:space="preserve">推荐消融实验记录表</x:t>
        </x:is>
      </x:c>
    </x:row>
    <x:row r="2">
      <x:c r="A2" s="2" t="inlineStr">
        <x:is>
          <x:t xml:space="preserve">如果你想更强地证明“创新点来自哪些组件”，建议至少完成 ABL2~ABL4。若时间有限，可只做前三个可解释性最强的消融。</x:t>
        </x:is>
      </x:c>
    </x:row>
    <x:row r="4" ht="22" customHeight="1">
      <x:c r="A4" s="3" t="inlineStr">
        <x:is>
          <x:t xml:space="preserve">组件贡献拆解（可根据实际情况增删行）</x:t>
        </x:is>
      </x:c>
    </x:row>
    <x:row r="5">
      <x:c r="A5" s="8" t="inlineStr">
        <x:is>
          <x:t xml:space="preserve">配置ID</x:t>
        </x:is>
      </x:c>
      <x:c r="B5" s="8" t="inlineStr">
        <x:is>
          <x:t xml:space="preserve">方法配置</x:t>
        </x:is>
      </x:c>
      <x:c r="C5" s="8" t="inlineStr">
        <x:is>
          <x:t xml:space="preserve">是否建议做</x:t>
        </x:is>
      </x:c>
      <x:c r="D5" s="8" t="inlineStr">
        <x:is>
          <x:t xml:space="preserve">TP</x:t>
        </x:is>
      </x:c>
      <x:c r="E5" s="8" t="inlineStr">
        <x:is>
          <x:t xml:space="preserve">FP</x:t>
        </x:is>
      </x:c>
      <x:c r="F5" s="8" t="inlineStr">
        <x:is>
          <x:t xml:space="preserve">FN</x:t>
        </x:is>
      </x:c>
      <x:c r="G5" s="8" t="inlineStr">
        <x:is>
          <x:t xml:space="preserve">Precision</x:t>
        </x:is>
      </x:c>
      <x:c r="H5" s="8" t="inlineStr">
        <x:is>
          <x:t xml:space="preserve">Recall</x:t>
        </x:is>
      </x:c>
      <x:c r="I5" s="8" t="inlineStr">
        <x:is>
          <x:t xml:space="preserve">F1</x:t>
        </x:is>
      </x:c>
      <x:c r="J5" s="8" t="inlineStr">
        <x:is>
          <x:t xml:space="preserve">可解析率</x:t>
        </x:is>
      </x:c>
      <x:c r="K5" s="8" t="inlineStr">
        <x:is>
          <x:t xml:space="preserve">合规率</x:t>
        </x:is>
      </x:c>
      <x:c r="L5" s="8" t="inlineStr">
        <x:is>
          <x:t xml:space="preserve">一致率</x:t>
        </x:is>
      </x:c>
      <x:c r="M5" s="8" t="inlineStr">
        <x:is>
          <x:t xml:space="preserve">平均推理耗时(ms)</x:t>
        </x:is>
      </x:c>
      <x:c r="N5" s="8" t="inlineStr">
        <x:is>
          <x:t xml:space="preserve">说明</x:t>
        </x:is>
      </x:c>
    </x:row>
    <x:row r="6">
      <x:c r="A6" s="9" t="inlineStr">
        <x:is>
          <x:t xml:space="preserve">ABL0</x:t>
        </x:is>
      </x:c>
      <x:c r="B6" s="15" t="inlineStr">
        <x:is>
          <x:t xml:space="preserve">Base</x:t>
        </x:is>
      </x:c>
      <x:c r="C6" s="15" t="inlineStr">
        <x:is>
          <x:t xml:space="preserve">必做</x:t>
        </x:is>
      </x:c>
      <x:c r="D6" s="10" t="n"/>
      <x:c r="E6" s="10" t="n"/>
      <x:c r="F6" s="10" t="n"/>
      <x:c r="G6" s="18">
        <x:f>IFERROR(D6/(D6+E6),"")</x:f>
      </x:c>
      <x:c r="H6" s="18">
        <x:f>IFERROR(D6/(D6+F6),"")</x:f>
      </x:c>
      <x:c r="I6" s="18">
        <x:f>IFERROR(2*G6*H6/(G6+H6),"")</x:f>
      </x:c>
      <x:c r="J6" s="20" t="n"/>
      <x:c r="K6" s="20" t="n"/>
      <x:c r="L6" s="20" t="n"/>
      <x:c r="M6" s="19" t="n"/>
      <x:c r="N6" s="15" t="inlineStr">
        <x:is>
          <x:t xml:space="preserve">零领域适配对照</x:t>
        </x:is>
      </x:c>
    </x:row>
    <x:row r="7">
      <x:c r="A7" s="9" t="inlineStr">
        <x:is>
          <x:t xml:space="preserve">ABL1</x:t>
        </x:is>
      </x:c>
      <x:c r="B7" s="15" t="inlineStr">
        <x:is>
          <x:t xml:space="preserve">QLoRA-only</x:t>
        </x:is>
      </x:c>
      <x:c r="C7" s="15" t="inlineStr">
        <x:is>
          <x:t xml:space="preserve">必做</x:t>
        </x:is>
      </x:c>
      <x:c r="D7" s="10" t="n"/>
      <x:c r="E7" s="10" t="n"/>
      <x:c r="F7" s="10" t="n"/>
      <x:c r="G7" s="18">
        <x:f>IFERROR(D7/(D7+E7),"")</x:f>
      </x:c>
      <x:c r="H7" s="18">
        <x:f>IFERROR(D7/(D7+F7),"")</x:f>
      </x:c>
      <x:c r="I7" s="18">
        <x:f>IFERROR(2*G7*H7/(G7+H7),"")</x:f>
      </x:c>
      <x:c r="J7" s="20" t="n"/>
      <x:c r="K7" s="20" t="n"/>
      <x:c r="L7" s="20" t="n"/>
      <x:c r="M7" s="19" t="n"/>
      <x:c r="N7" s="15" t="inlineStr">
        <x:is>
          <x:t xml:space="preserve">仅验证参数高效领域适配的贡献</x:t>
        </x:is>
      </x:c>
    </x:row>
    <x:row r="8">
      <x:c r="A8" s="9" t="inlineStr">
        <x:is>
          <x:t xml:space="preserve">ABL2</x:t>
        </x:is>
      </x:c>
      <x:c r="B8" s="15" t="inlineStr">
        <x:is>
          <x:t xml:space="preserve">QLoRA+Ontology</x:t>
        </x:is>
      </x:c>
      <x:c r="C8" s="15" t="inlineStr">
        <x:is>
          <x:t xml:space="preserve">建议做</x:t>
        </x:is>
      </x:c>
      <x:c r="D8" s="10" t="n"/>
      <x:c r="E8" s="10" t="n"/>
      <x:c r="F8" s="10" t="n"/>
      <x:c r="G8" s="18">
        <x:f>IFERROR(D8/(D8+E8),"")</x:f>
      </x:c>
      <x:c r="H8" s="18">
        <x:f>IFERROR(D8/(D8+F8),"")</x:f>
      </x:c>
      <x:c r="I8" s="18">
        <x:f>IFERROR(2*G8*H8/(G8+H8),"")</x:f>
      </x:c>
      <x:c r="J8" s="20" t="n"/>
      <x:c r="K8" s="20" t="n"/>
      <x:c r="L8" s="20" t="n"/>
      <x:c r="M8" s="19" t="n"/>
      <x:c r="N8" s="15" t="inlineStr">
        <x:is>
          <x:t xml:space="preserve">仅加本体约束，不做多候选评分</x:t>
        </x:is>
      </x:c>
    </x:row>
    <x:row r="9">
      <x:c r="A9" s="9" t="inlineStr">
        <x:is>
          <x:t xml:space="preserve">ABL3</x:t>
        </x:is>
      </x:c>
      <x:c r="B9" s="15" t="inlineStr">
        <x:is>
          <x:t xml:space="preserve">QLoRA+MultiCandidate</x:t>
        </x:is>
      </x:c>
      <x:c r="C9" s="15" t="inlineStr">
        <x:is>
          <x:t xml:space="preserve">建议做</x:t>
        </x:is>
      </x:c>
      <x:c r="D9" s="10" t="n"/>
      <x:c r="E9" s="10" t="n"/>
      <x:c r="F9" s="10" t="n"/>
      <x:c r="G9" s="18">
        <x:f>IFERROR(D9/(D9+E9),"")</x:f>
      </x:c>
      <x:c r="H9" s="18">
        <x:f>IFERROR(D9/(D9+F9),"")</x:f>
      </x:c>
      <x:c r="I9" s="18">
        <x:f>IFERROR(2*G9*H9/(G9+H9),"")</x:f>
      </x:c>
      <x:c r="J9" s="20" t="n"/>
      <x:c r="K9" s="20" t="n"/>
      <x:c r="L9" s="20" t="n"/>
      <x:c r="M9" s="19" t="n"/>
      <x:c r="N9" s="15" t="inlineStr">
        <x:is>
          <x:t xml:space="preserve">仅加多候选评分，不做本体约束</x:t>
        </x:is>
      </x:c>
    </x:row>
    <x:row r="10">
      <x:c r="A10" s="9" t="inlineStr">
        <x:is>
          <x:t xml:space="preserve">ABL4</x:t>
        </x:is>
      </x:c>
      <x:c r="B10" s="15" t="inlineStr">
        <x:is>
          <x:t xml:space="preserve">QLoRA+多候选评分(完整方法)</x:t>
        </x:is>
      </x:c>
      <x:c r="C10" s="15" t="inlineStr">
        <x:is>
          <x:t xml:space="preserve">必做</x:t>
        </x:is>
      </x:c>
      <x:c r="D10" s="10" t="n"/>
      <x:c r="E10" s="10" t="n"/>
      <x:c r="F10" s="10" t="n"/>
      <x:c r="G10" s="18">
        <x:f>IFERROR(D10/(D10+E10),"")</x:f>
      </x:c>
      <x:c r="H10" s="18">
        <x:f>IFERROR(D10/(D10+F10),"")</x:f>
      </x:c>
      <x:c r="I10" s="18">
        <x:f>IFERROR(2*G10*H10/(G10+H10),"")</x:f>
      </x:c>
      <x:c r="J10" s="20" t="n"/>
      <x:c r="K10" s="20" t="n"/>
      <x:c r="L10" s="20" t="n"/>
      <x:c r="M10" s="19" t="n"/>
      <x:c r="N10" s="15" t="inlineStr">
        <x:is>
          <x:t xml:space="preserve">完整方法</x:t>
        </x:is>
      </x:c>
    </x:row>
    <x:row r="11">
      <x:c r="A11" s="9" t="inlineStr">
        <x:is>
          <x:t xml:space="preserve">ABL5</x:t>
        </x:is>
      </x:c>
      <x:c r="B11" s="15" t="inlineStr">
        <x:is>
          <x:t xml:space="preserve">Full-无ErrorPenalty</x:t>
        </x:is>
      </x:c>
      <x:c r="C11" s="15" t="inlineStr">
        <x:is>
          <x:t xml:space="preserve">可选</x:t>
        </x:is>
      </x:c>
      <x:c r="D11" s="10" t="n"/>
      <x:c r="E11" s="10" t="n"/>
      <x:c r="F11" s="10" t="n"/>
      <x:c r="G11" s="18">
        <x:f>IFERROR(D11/(D11+E11),"")</x:f>
      </x:c>
      <x:c r="H11" s="18">
        <x:f>IFERROR(D11/(D11+F11),"")</x:f>
      </x:c>
      <x:c r="I11" s="18">
        <x:f>IFERROR(2*G11*H11/(G11+H11),"")</x:f>
      </x:c>
      <x:c r="J11" s="20" t="n"/>
      <x:c r="K11" s="20" t="n"/>
      <x:c r="L11" s="20" t="n"/>
      <x:c r="M11" s="19" t="n"/>
      <x:c r="N11" s="15" t="inlineStr">
        <x:is>
          <x:t xml:space="preserve">分析错误惩罚项 γ 的作用</x:t>
        </x:is>
      </x:c>
    </x:row>
    <x:row r="12">
      <x:c r="A12" s="9" t="inlineStr">
        <x:is>
          <x:t xml:space="preserve">ABL6</x:t>
        </x:is>
      </x:c>
      <x:c r="B12" s="15" t="inlineStr">
        <x:is>
          <x:t xml:space="preserve">Full-无RuleScore</x:t>
        </x:is>
      </x:c>
      <x:c r="C12" s="15" t="inlineStr">
        <x:is>
          <x:t xml:space="preserve">可选</x:t>
        </x:is>
      </x:c>
      <x:c r="D12" s="10" t="n"/>
      <x:c r="E12" s="10" t="n"/>
      <x:c r="F12" s="10" t="n"/>
      <x:c r="G12" s="18">
        <x:f>IFERROR(D12/(D12+E12),"")</x:f>
      </x:c>
      <x:c r="H12" s="18">
        <x:f>IFERROR(D12/(D12+F12),"")</x:f>
      </x:c>
      <x:c r="I12" s="18">
        <x:f>IFERROR(2*G12*H12/(G12+H12),"")</x:f>
      </x:c>
      <x:c r="J12" s="20" t="n"/>
      <x:c r="K12" s="20" t="n"/>
      <x:c r="L12" s="20" t="n"/>
      <x:c r="M12" s="19" t="n"/>
      <x:c r="N12" s="15" t="inlineStr">
        <x:is>
          <x:t xml:space="preserve">分析规则得分 β 的作用</x:t>
        </x:is>
      </x:c>
    </x:row>
  </x:sheetData>
  <x:mergeCells>
    <x:mergeCell ref="A4:N4"/>
    <x:mergeCell ref="A2:N2"/>
    <x:mergeCell ref="A1:N1"/>
  </x:mergeCells>
  <x:dataValidations count="2">
    <x:dataValidation type="list" allowBlank="1" showDropDown="0" showInputMessage="0" showErrorMessage="0" sqref="A6:A8 A6:A38 B6:B12">
      <x:formula1>=lists!$A$1:$A$8</x:formula1>
    </x:dataValidation>
    <x:dataValidation type="list" allowBlank="1" showDropDown="0" showInputMessage="0" showErrorMessage="0" sqref="C6:C12">
      <x:formula1>=lists!$E$1:$E$3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8" customWidth="1"/>
    <x:col min="3" max="3" width="8" customWidth="1"/>
    <x:col min="4" max="4" width="10" customWidth="1"/>
    <x:col min="5" max="5" width="12" customWidth="1"/>
    <x:col min="6" max="6" width="8" customWidth="1"/>
    <x:col min="7" max="7" width="8" customWidth="1"/>
    <x:col min="8" max="8" width="8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4" customWidth="1"/>
    <x:col min="15" max="15" width="12" customWidth="1"/>
    <x:col min="16" max="16" width="20" customWidth="1"/>
  </x:cols>
  <x:sheetData>
    <x:row r="1" ht="24" customHeight="1">
      <x:c r="A1" s="1" t="inlineStr">
        <x:is>
          <x:t xml:space="preserve">多候选参数与评分权重敏感性</x:t>
        </x:is>
      </x:c>
    </x:row>
    <x:row r="2">
      <x:c r="A2" s="2" t="inlineStr">
        <x:is>
          <x:t xml:space="preserve">本章方法的完整实现依赖候选数 K、采样 top-p 以及评分权重 α/β/γ；如果你实际做了验证集调参，这张表可以直接供 5.3.3 分析使用。</x:t>
        </x:is>
      </x:c>
    </x:row>
    <x:row r="4" ht="22" customHeight="1">
      <x:c r="A4" s="3" t="inlineStr">
        <x:is>
          <x:t xml:space="preserve">A. 候选生成参数敏感性（K / top-p / temperature）</x:t>
        </x:is>
      </x:c>
    </x:row>
    <x:row r="5">
      <x:c r="A5" s="8" t="inlineStr">
        <x:is>
          <x:t xml:space="preserve">配置ID</x:t>
        </x:is>
      </x:c>
      <x:c r="B5" s="8" t="inlineStr">
        <x:is>
          <x:t xml:space="preserve">K</x:t>
        </x:is>
      </x:c>
      <x:c r="C5" s="8" t="inlineStr">
        <x:is>
          <x:t xml:space="preserve">top-p</x:t>
        </x:is>
      </x:c>
      <x:c r="D5" s="8" t="inlineStr">
        <x:is>
          <x:t xml:space="preserve">temperature</x:t>
        </x:is>
      </x:c>
      <x:c r="E5" s="8" t="inlineStr">
        <x:is>
          <x:t xml:space="preserve">约束后平均K'</x:t>
        </x:is>
      </x:c>
      <x:c r="F5" s="8" t="inlineStr">
        <x:is>
          <x:t xml:space="preserve">TP</x:t>
        </x:is>
      </x:c>
      <x:c r="G5" s="8" t="inlineStr">
        <x:is>
          <x:t xml:space="preserve">FP</x:t>
        </x:is>
      </x:c>
      <x:c r="H5" s="8" t="inlineStr">
        <x:is>
          <x:t xml:space="preserve">FN</x:t>
        </x:is>
      </x:c>
      <x:c r="I5" s="8" t="inlineStr">
        <x:is>
          <x:t xml:space="preserve">Precision</x:t>
        </x:is>
      </x:c>
      <x:c r="J5" s="8" t="inlineStr">
        <x:is>
          <x:t xml:space="preserve">Recall</x:t>
        </x:is>
      </x:c>
      <x:c r="K5" s="8" t="inlineStr">
        <x:is>
          <x:t xml:space="preserve">F1</x:t>
        </x:is>
      </x:c>
      <x:c r="L5" s="8" t="inlineStr">
        <x:is>
          <x:t xml:space="preserve">合规率</x:t>
        </x:is>
      </x:c>
      <x:c r="M5" s="8" t="inlineStr">
        <x:is>
          <x:t xml:space="preserve">一致率</x:t>
        </x:is>
      </x:c>
      <x:c r="N5" s="8" t="inlineStr">
        <x:is>
          <x:t xml:space="preserve">平均推理耗时(ms)</x:t>
        </x:is>
      </x:c>
      <x:c r="O5" s="8" t="inlineStr">
        <x:is>
          <x:t xml:space="preserve">是否最终采用</x:t>
        </x:is>
      </x:c>
      <x:c r="P5" s="8" t="inlineStr">
        <x:is>
          <x:t xml:space="preserve">备注</x:t>
        </x:is>
      </x:c>
    </x:row>
    <x:row r="6">
      <x:c r="A6" s="9" t="inlineStr">
        <x:is>
          <x:t xml:space="preserve">CAND1</x:t>
        </x:is>
      </x:c>
      <x:c r="B6" s="10" t="n">
        <x:v>1</x:v>
      </x:c>
      <x:c r="C6" s="19" t="n">
        <x:v>0.8</x:v>
      </x:c>
      <x:c r="D6" s="19" t="n">
        <x:v>0.2</x:v>
      </x:c>
      <x:c r="E6" s="10" t="n"/>
      <x:c r="F6" s="10" t="n"/>
      <x:c r="G6" s="10" t="n"/>
      <x:c r="H6" s="10" t="n"/>
      <x:c r="I6" s="18">
        <x:f>IFERROR(F6/(F6+G6),"")</x:f>
      </x:c>
      <x:c r="J6" s="18">
        <x:f>IFERROR(F6/(F6+H6),"")</x:f>
      </x:c>
      <x:c r="K6" s="18">
        <x:f>IFERROR(2*I6*J6/(I6+J6),"")</x:f>
      </x:c>
      <x:c r="L6" s="20" t="n"/>
      <x:c r="M6" s="20" t="n"/>
      <x:c r="N6" s="19" t="n"/>
      <x:c r="O6" s="10" t="n"/>
      <x:c r="P6" s="10" t="n"/>
    </x:row>
    <x:row r="7">
      <x:c r="A7" s="9" t="inlineStr">
        <x:is>
          <x:t xml:space="preserve">CAND2</x:t>
        </x:is>
      </x:c>
      <x:c r="B7" s="10" t="n">
        <x:v>3</x:v>
      </x:c>
      <x:c r="C7" s="19" t="n">
        <x:v>0.8</x:v>
      </x:c>
      <x:c r="D7" s="19" t="n">
        <x:v>0.2</x:v>
      </x:c>
      <x:c r="E7" s="10" t="n"/>
      <x:c r="F7" s="10" t="n"/>
      <x:c r="G7" s="10" t="n"/>
      <x:c r="H7" s="10" t="n"/>
      <x:c r="I7" s="18">
        <x:f>IFERROR(F7/(F7+G7),"")</x:f>
      </x:c>
      <x:c r="J7" s="18">
        <x:f>IFERROR(F7/(F7+H7),"")</x:f>
      </x:c>
      <x:c r="K7" s="18">
        <x:f>IFERROR(2*I7*J7/(I7+J7),"")</x:f>
      </x:c>
      <x:c r="L7" s="20" t="n"/>
      <x:c r="M7" s="20" t="n"/>
      <x:c r="N7" s="19" t="n"/>
      <x:c r="O7" s="10" t="n"/>
      <x:c r="P7" s="10" t="n"/>
    </x:row>
    <x:row r="8">
      <x:c r="A8" s="9" t="inlineStr">
        <x:is>
          <x:t xml:space="preserve">CAND3</x:t>
        </x:is>
      </x:c>
      <x:c r="B8" s="10" t="n">
        <x:v>5</x:v>
      </x:c>
      <x:c r="C8" s="19" t="n">
        <x:v>0.8</x:v>
      </x:c>
      <x:c r="D8" s="19" t="n">
        <x:v>0.2</x:v>
      </x:c>
      <x:c r="E8" s="10" t="n"/>
      <x:c r="F8" s="10" t="n"/>
      <x:c r="G8" s="10" t="n"/>
      <x:c r="H8" s="10" t="n"/>
      <x:c r="I8" s="18">
        <x:f>IFERROR(F8/(F8+G8),"")</x:f>
      </x:c>
      <x:c r="J8" s="18">
        <x:f>IFERROR(F8/(F8+H8),"")</x:f>
      </x:c>
      <x:c r="K8" s="18">
        <x:f>IFERROR(2*I8*J8/(I8+J8),"")</x:f>
      </x:c>
      <x:c r="L8" s="20" t="n"/>
      <x:c r="M8" s="20" t="n"/>
      <x:c r="N8" s="19" t="n"/>
      <x:c r="O8" s="10" t="n"/>
      <x:c r="P8" s="10" t="n"/>
    </x:row>
    <x:row r="9">
      <x:c r="A9" s="9" t="inlineStr">
        <x:is>
          <x:t xml:space="preserve">CAND4</x:t>
        </x:is>
      </x:c>
      <x:c r="B9" s="10" t="n">
        <x:v>5</x:v>
      </x:c>
      <x:c r="C9" s="19" t="n">
        <x:v>0.9</x:v>
      </x:c>
      <x:c r="D9" s="19" t="n">
        <x:v>0.2</x:v>
      </x:c>
      <x:c r="E9" s="10" t="n"/>
      <x:c r="F9" s="10" t="n"/>
      <x:c r="G9" s="10" t="n"/>
      <x:c r="H9" s="10" t="n"/>
      <x:c r="I9" s="18">
        <x:f>IFERROR(F9/(F9+G9),"")</x:f>
      </x:c>
      <x:c r="J9" s="18">
        <x:f>IFERROR(F9/(F9+H9),"")</x:f>
      </x:c>
      <x:c r="K9" s="18">
        <x:f>IFERROR(2*I9*J9/(I9+J9),"")</x:f>
      </x:c>
      <x:c r="L9" s="20" t="n"/>
      <x:c r="M9" s="20" t="n"/>
      <x:c r="N9" s="19" t="n"/>
      <x:c r="O9" s="10" t="n"/>
      <x:c r="P9" s="10" t="n"/>
    </x:row>
    <x:row r="10">
      <x:c r="A10" s="9" t="inlineStr">
        <x:is>
          <x:t xml:space="preserve">CAND5</x:t>
        </x:is>
      </x:c>
      <x:c r="B10" s="10" t="n">
        <x:v>7</x:v>
      </x:c>
      <x:c r="C10" s="19" t="n">
        <x:v>0.9</x:v>
      </x:c>
      <x:c r="D10" s="19" t="n">
        <x:v>0.2</x:v>
      </x:c>
      <x:c r="E10" s="10" t="n"/>
      <x:c r="F10" s="10" t="n"/>
      <x:c r="G10" s="10" t="n"/>
      <x:c r="H10" s="10" t="n"/>
      <x:c r="I10" s="18">
        <x:f>IFERROR(F10/(F10+G10),"")</x:f>
      </x:c>
      <x:c r="J10" s="18">
        <x:f>IFERROR(F10/(F10+H10),"")</x:f>
      </x:c>
      <x:c r="K10" s="18">
        <x:f>IFERROR(2*I10*J10/(I10+J10),"")</x:f>
      </x:c>
      <x:c r="L10" s="20" t="n"/>
      <x:c r="M10" s="20" t="n"/>
      <x:c r="N10" s="19" t="n"/>
      <x:c r="O10" s="10" t="n"/>
      <x:c r="P10" s="10" t="n"/>
    </x:row>
    <x:row r="13" ht="22" customHeight="1">
      <x:c r="A13" s="3" t="inlineStr">
        <x:is>
          <x:t xml:space="preserve">B. 评分权重敏感性（α / β / γ）</x:t>
        </x:is>
      </x:c>
    </x:row>
    <x:row r="14">
      <x:c r="A14" s="8" t="inlineStr">
        <x:is>
          <x:t xml:space="preserve">配置ID</x:t>
        </x:is>
      </x:c>
      <x:c r="B14" s="8" t="inlineStr">
        <x:is>
          <x:t xml:space="preserve">α(Conf)</x:t>
        </x:is>
      </x:c>
      <x:c r="C14" s="8" t="inlineStr">
        <x:is>
          <x:t xml:space="preserve">β(Rule)</x:t>
        </x:is>
      </x:c>
      <x:c r="D14" s="8" t="inlineStr">
        <x:is>
          <x:t xml:space="preserve">γ(Error)</x:t>
        </x:is>
      </x:c>
      <x:c r="E14" s="8" t="inlineStr">
        <x:is>
          <x:t xml:space="preserve">TP</x:t>
        </x:is>
      </x:c>
      <x:c r="F14" s="8" t="inlineStr">
        <x:is>
          <x:t xml:space="preserve">FP</x:t>
        </x:is>
      </x:c>
      <x:c r="G14" s="8" t="inlineStr">
        <x:is>
          <x:t xml:space="preserve">FN</x:t>
        </x:is>
      </x:c>
      <x:c r="H14" s="8" t="inlineStr">
        <x:is>
          <x:t xml:space="preserve">Precision</x:t>
        </x:is>
      </x:c>
      <x:c r="I14" s="8" t="inlineStr">
        <x:is>
          <x:t xml:space="preserve">Recall</x:t>
        </x:is>
      </x:c>
      <x:c r="J14" s="8" t="inlineStr">
        <x:is>
          <x:t xml:space="preserve">F1</x:t>
        </x:is>
      </x:c>
      <x:c r="K14" s="8" t="inlineStr">
        <x:is>
          <x:t xml:space="preserve">合规率</x:t>
        </x:is>
      </x:c>
      <x:c r="L14" s="8" t="inlineStr">
        <x:is>
          <x:t xml:space="preserve">一致率</x:t>
        </x:is>
      </x:c>
      <x:c r="M14" s="8" t="inlineStr">
        <x:is>
          <x:t xml:space="preserve">平均推理耗时(ms)</x:t>
        </x:is>
      </x:c>
      <x:c r="N14" s="8" t="inlineStr">
        <x:is>
          <x:t xml:space="preserve">是否最终采用</x:t>
        </x:is>
      </x:c>
      <x:c r="O14" s="8" t="inlineStr">
        <x:is>
          <x:t xml:space="preserve">备注</x:t>
        </x:is>
      </x:c>
    </x:row>
    <x:row r="15">
      <x:c r="A15" s="9" t="inlineStr">
        <x:is>
          <x:t xml:space="preserve">W1</x:t>
        </x:is>
      </x:c>
      <x:c r="B15" s="20" t="n">
        <x:v>0.4</x:v>
      </x:c>
      <x:c r="C15" s="20" t="n">
        <x:v>0.4</x:v>
      </x:c>
      <x:c r="D15" s="20" t="n">
        <x:v>0.2</x:v>
      </x:c>
      <x:c r="E15" s="10" t="n"/>
      <x:c r="F15" s="10" t="n"/>
      <x:c r="G15" s="10" t="n"/>
      <x:c r="H15" s="18">
        <x:f>IFERROR(E15/(E15+F15),"")</x:f>
      </x:c>
      <x:c r="I15" s="18">
        <x:f>IFERROR(E15/(E15+G15),"")</x:f>
      </x:c>
      <x:c r="J15" s="18">
        <x:f>IFERROR(2*H15*I15/(H15+I15),"")</x:f>
      </x:c>
      <x:c r="K15" s="20" t="n"/>
      <x:c r="L15" s="20" t="n"/>
      <x:c r="M15" s="19" t="n"/>
      <x:c r="N15" s="10" t="n"/>
      <x:c r="O15" s="10" t="n"/>
      <x:c r="P15" s="13" t="n"/>
    </x:row>
    <x:row r="16">
      <x:c r="A16" s="9" t="inlineStr">
        <x:is>
          <x:t xml:space="preserve">W2</x:t>
        </x:is>
      </x:c>
      <x:c r="B16" s="20" t="n">
        <x:v>0.5</x:v>
      </x:c>
      <x:c r="C16" s="20" t="n">
        <x:v>0.3</x:v>
      </x:c>
      <x:c r="D16" s="20" t="n">
        <x:v>0.2</x:v>
      </x:c>
      <x:c r="E16" s="10" t="n"/>
      <x:c r="F16" s="10" t="n"/>
      <x:c r="G16" s="10" t="n"/>
      <x:c r="H16" s="18">
        <x:f>IFERROR(E16/(E16+F16),"")</x:f>
      </x:c>
      <x:c r="I16" s="18">
        <x:f>IFERROR(E16/(E16+G16),"")</x:f>
      </x:c>
      <x:c r="J16" s="18">
        <x:f>IFERROR(2*H16*I16/(H16+I16),"")</x:f>
      </x:c>
      <x:c r="K16" s="20" t="n"/>
      <x:c r="L16" s="20" t="n"/>
      <x:c r="M16" s="19" t="n"/>
      <x:c r="N16" s="10" t="n"/>
      <x:c r="O16" s="10" t="n"/>
      <x:c r="P16" s="13" t="n"/>
    </x:row>
    <x:row r="17">
      <x:c r="A17" s="9" t="inlineStr">
        <x:is>
          <x:t xml:space="preserve">W3</x:t>
        </x:is>
      </x:c>
      <x:c r="B17" s="20" t="n">
        <x:v>0.3</x:v>
      </x:c>
      <x:c r="C17" s="20" t="n">
        <x:v>0.5</x:v>
      </x:c>
      <x:c r="D17" s="20" t="n">
        <x:v>0.2</x:v>
      </x:c>
      <x:c r="E17" s="10" t="n"/>
      <x:c r="F17" s="10" t="n"/>
      <x:c r="G17" s="10" t="n"/>
      <x:c r="H17" s="18">
        <x:f>IFERROR(E17/(E17+F17),"")</x:f>
      </x:c>
      <x:c r="I17" s="18">
        <x:f>IFERROR(E17/(E17+G17),"")</x:f>
      </x:c>
      <x:c r="J17" s="18">
        <x:f>IFERROR(2*H17*I17/(H17+I17),"")</x:f>
      </x:c>
      <x:c r="K17" s="20" t="n"/>
      <x:c r="L17" s="20" t="n"/>
      <x:c r="M17" s="19" t="n"/>
      <x:c r="N17" s="10" t="n"/>
      <x:c r="O17" s="10" t="n"/>
      <x:c r="P17" s="13" t="n"/>
    </x:row>
    <x:row r="18">
      <x:c r="A18" s="9" t="inlineStr">
        <x:is>
          <x:t xml:space="preserve">W4</x:t>
        </x:is>
      </x:c>
      <x:c r="B18" s="20" t="n">
        <x:v>0.4</x:v>
      </x:c>
      <x:c r="C18" s="20" t="n">
        <x:v>0.3</x:v>
      </x:c>
      <x:c r="D18" s="20" t="n">
        <x:v>0.3</x:v>
      </x:c>
      <x:c r="E18" s="10" t="n"/>
      <x:c r="F18" s="10" t="n"/>
      <x:c r="G18" s="10" t="n"/>
      <x:c r="H18" s="18">
        <x:f>IFERROR(E18/(E18+F18),"")</x:f>
      </x:c>
      <x:c r="I18" s="18">
        <x:f>IFERROR(E18/(E18+G18),"")</x:f>
      </x:c>
      <x:c r="J18" s="18">
        <x:f>IFERROR(2*H18*I18/(H18+I18),"")</x:f>
      </x:c>
      <x:c r="K18" s="20" t="n"/>
      <x:c r="L18" s="20" t="n"/>
      <x:c r="M18" s="19" t="n"/>
      <x:c r="N18" s="10" t="n"/>
      <x:c r="O18" s="10" t="n"/>
      <x:c r="P18" s="13" t="n"/>
    </x:row>
    <x:row r="19">
      <x:c r="A19" s="9" t="inlineStr">
        <x:is>
          <x:t xml:space="preserve">W5</x:t>
        </x:is>
      </x:c>
      <x:c r="B19" s="20" t="n">
        <x:v>0.33</x:v>
      </x:c>
      <x:c r="C19" s="20" t="n">
        <x:v>0.33</x:v>
      </x:c>
      <x:c r="D19" s="20" t="n">
        <x:v>0.34</x:v>
      </x:c>
      <x:c r="E19" s="10" t="n"/>
      <x:c r="F19" s="10" t="n"/>
      <x:c r="G19" s="10" t="n"/>
      <x:c r="H19" s="18">
        <x:f>IFERROR(E19/(E19+F19),"")</x:f>
      </x:c>
      <x:c r="I19" s="18">
        <x:f>IFERROR(E19/(E19+G19),"")</x:f>
      </x:c>
      <x:c r="J19" s="18">
        <x:f>IFERROR(2*H19*I19/(H19+I19),"")</x:f>
      </x:c>
      <x:c r="K19" s="20" t="n"/>
      <x:c r="L19" s="20" t="n"/>
      <x:c r="M19" s="19" t="n"/>
      <x:c r="N19" s="10" t="n"/>
      <x:c r="O19" s="10" t="n"/>
      <x:c r="P19" s="13" t="n"/>
    </x:row>
  </x:sheetData>
  <x:mergeCells>
    <x:mergeCell ref="A1:P1"/>
    <x:mergeCell ref="A4:P4"/>
    <x:mergeCell ref="A13:P13"/>
    <x:mergeCell ref="A2:P2"/>
  </x:mergeCells>
  <x:dataValidations count="2">
    <x:dataValidation type="list" allowBlank="1" showDropDown="0" showInputMessage="0" showErrorMessage="0" sqref="B6:B15 E6:E36 L6:L15 N15:N19 O6:O10">
      <x:formula1>=lists!$D$1:$D$2</x:formula1>
    </x:dataValidation>
    <x:dataValidation type="list" allowBlank="1" showDropDown="0" showInputMessage="0" showErrorMessage="0" sqref="B6:B15 E6:E36 L6:L15 N15:N19 O6:O10">
      <x:formula1>=lists!$D$1:$D$2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2" customWidth="1"/>
    <x:col min="3" max="3" width="16" customWidth="1"/>
    <x:col min="4" max="4" width="40" customWidth="1"/>
    <x:col min="5" max="5" width="24" customWidth="1"/>
    <x:col min="6" max="6" width="24" customWidth="1"/>
    <x:col min="7" max="7" width="18" customWidth="1"/>
    <x:col min="8" max="8" width="24" customWidth="1"/>
    <x:col min="9" max="9" width="18" customWidth="1"/>
    <x:col min="10" max="10" width="24" customWidth="1"/>
    <x:col min="11" max="11" width="20" customWidth="1"/>
    <x:col min="12" max="12" width="14" customWidth="1"/>
    <x:col min="13" max="13" width="14" customWidth="1"/>
    <x:col min="14" max="14" width="18" customWidth="1"/>
  </x:cols>
  <x:sheetData>
    <x:row r="1" ht="24" customHeight="1">
      <x:c r="A1" s="1" t="inlineStr">
        <x:is>
          <x:t xml:space="preserve">案例分析记录表（供 5.3.3 定性分析直接引用）</x:t>
        </x:is>
      </x:c>
    </x:row>
    <x:row r="2">
      <x:c r="A2" s="2" t="inlineStr">
        <x:is>
          <x:t xml:space="preserve">建议挑选 3~5 个最能体现“Base→QLoRA-only→完整方法”差异的样例；如果可能，至少覆盖一个长尾关系、一个类型冲突被修正的例子、一个多候选选择优于单次生成的例子。</x:t>
        </x:is>
      </x:c>
    </x:row>
    <x:row r="4" ht="22" customHeight="1">
      <x:c r="A4" s="3" t="inlineStr">
        <x:is>
          <x:t xml:space="preserve">案例样本记录</x:t>
        </x:is>
      </x:c>
    </x:row>
    <x:row r="5">
      <x:c r="A5" s="8" t="inlineStr">
        <x:is>
          <x:t xml:space="preserve">Case ID</x:t>
        </x:is>
      </x:c>
      <x:c r="B5" s="8" t="inlineStr">
        <x:is>
          <x:t xml:space="preserve">是否来自测试集</x:t>
        </x:is>
      </x:c>
      <x:c r="C5" s="8" t="inlineStr">
        <x:is>
          <x:t xml:space="preserve">关系焦点</x:t>
        </x:is>
      </x:c>
      <x:c r="D5" s="8" t="inlineStr">
        <x:is>
          <x:t xml:space="preserve">原始文本</x:t>
        </x:is>
      </x:c>
      <x:c r="E5" s="8" t="inlineStr">
        <x:is>
          <x:t xml:space="preserve">金标三元组</x:t>
        </x:is>
      </x:c>
      <x:c r="F5" s="8" t="inlineStr">
        <x:is>
          <x:t xml:space="preserve">Base 输出</x:t>
        </x:is>
      </x:c>
      <x:c r="G5" s="8" t="inlineStr">
        <x:is>
          <x:t xml:space="preserve">Base 主要问题</x:t>
        </x:is>
      </x:c>
      <x:c r="H5" s="8" t="inlineStr">
        <x:is>
          <x:t xml:space="preserve">QLoRA-only 输出</x:t>
        </x:is>
      </x:c>
      <x:c r="I5" s="8" t="inlineStr">
        <x:is>
          <x:t xml:space="preserve">QLoRA-only 主要问题</x:t>
        </x:is>
      </x:c>
      <x:c r="J5" s="8" t="inlineStr">
        <x:is>
          <x:t xml:space="preserve">完整方法输出</x:t>
        </x:is>
      </x:c>
      <x:c r="K5" s="8" t="inlineStr">
        <x:is>
          <x:t xml:space="preserve">完整方法改进点</x:t>
        </x:is>
      </x:c>
      <x:c r="L5" s="8" t="inlineStr">
        <x:is>
          <x:t xml:space="preserve">是否建议写入论文</x:t>
        </x:is>
      </x:c>
      <x:c r="M5" s="8" t="inlineStr">
        <x:is>
          <x:t xml:space="preserve">对应图表/段落</x:t>
        </x:is>
      </x:c>
      <x:c r="N5" s="8" t="inlineStr">
        <x:is>
          <x:t xml:space="preserve">备注</x:t>
        </x:is>
      </x:c>
    </x:row>
    <x:row r="6" ht="60" customHeight="1">
      <x:c r="A6" s="10" t="n"/>
      <x:c r="B6" s="10" t="n"/>
      <x:c r="C6" s="10" t="n"/>
      <x:c r="D6" s="12" t="n"/>
      <x:c r="E6" s="12" t="n"/>
      <x:c r="F6" s="12" t="n"/>
      <x:c r="G6" s="12" t="n"/>
      <x:c r="H6" s="12" t="n"/>
      <x:c r="I6" s="12" t="n"/>
      <x:c r="J6" s="12" t="n"/>
      <x:c r="K6" s="12" t="n"/>
      <x:c r="L6" s="12" t="n"/>
      <x:c r="M6" s="12" t="n"/>
      <x:c r="N6" s="12" t="n"/>
    </x:row>
    <x:row r="7" ht="60" customHeight="1">
      <x:c r="A7" s="10" t="n"/>
      <x:c r="B7" s="10" t="n"/>
      <x:c r="C7" s="10" t="n"/>
      <x:c r="D7" s="12" t="n"/>
      <x:c r="E7" s="12" t="n"/>
      <x:c r="F7" s="12" t="n"/>
      <x:c r="G7" s="12" t="n"/>
      <x:c r="H7" s="12" t="n"/>
      <x:c r="I7" s="12" t="n"/>
      <x:c r="J7" s="12" t="n"/>
      <x:c r="K7" s="12" t="n"/>
      <x:c r="L7" s="12" t="n"/>
      <x:c r="M7" s="12" t="n"/>
      <x:c r="N7" s="12" t="n"/>
    </x:row>
    <x:row r="8" ht="60" customHeight="1">
      <x:c r="A8" s="10" t="n"/>
      <x:c r="B8" s="10" t="n"/>
      <x:c r="C8" s="10" t="n"/>
      <x:c r="D8" s="12" t="n"/>
      <x:c r="E8" s="12" t="n"/>
      <x:c r="F8" s="12" t="n"/>
      <x:c r="G8" s="12" t="n"/>
      <x:c r="H8" s="12" t="n"/>
      <x:c r="I8" s="12" t="n"/>
      <x:c r="J8" s="12" t="n"/>
      <x:c r="K8" s="12" t="n"/>
      <x:c r="L8" s="12" t="n"/>
      <x:c r="M8" s="12" t="n"/>
      <x:c r="N8" s="12" t="n"/>
    </x:row>
    <x:row r="9" ht="60" customHeight="1">
      <x:c r="A9" s="10" t="n"/>
      <x:c r="B9" s="10" t="n"/>
      <x:c r="C9" s="10" t="n"/>
      <x:c r="D9" s="12" t="n"/>
      <x:c r="E9" s="12" t="n"/>
      <x:c r="F9" s="12" t="n"/>
      <x:c r="G9" s="12" t="n"/>
      <x:c r="H9" s="12" t="n"/>
      <x:c r="I9" s="12" t="n"/>
      <x:c r="J9" s="12" t="n"/>
      <x:c r="K9" s="12" t="n"/>
      <x:c r="L9" s="12" t="n"/>
      <x:c r="M9" s="12" t="n"/>
      <x:c r="N9" s="12" t="n"/>
    </x:row>
    <x:row r="10" ht="60" customHeight="1">
      <x:c r="A10" s="10" t="n"/>
      <x:c r="B10" s="10" t="n"/>
      <x:c r="C10" s="10" t="n"/>
      <x:c r="D10" s="12" t="n"/>
      <x:c r="E10" s="12" t="n"/>
      <x:c r="F10" s="12" t="n"/>
      <x:c r="G10" s="12" t="n"/>
      <x:c r="H10" s="12" t="n"/>
      <x:c r="I10" s="12" t="n"/>
      <x:c r="J10" s="12" t="n"/>
      <x:c r="K10" s="12" t="n"/>
      <x:c r="L10" s="12" t="n"/>
      <x:c r="M10" s="12" t="n"/>
      <x:c r="N10" s="12" t="n"/>
    </x:row>
    <x:row r="11" ht="60" customHeight="1">
      <x:c r="A11" s="10" t="n"/>
      <x:c r="B11" s="10" t="n"/>
      <x:c r="C11" s="10" t="n"/>
      <x:c r="D11" s="12" t="n"/>
      <x:c r="E11" s="12" t="n"/>
      <x:c r="F11" s="12" t="n"/>
      <x:c r="G11" s="12" t="n"/>
      <x:c r="H11" s="12" t="n"/>
      <x:c r="I11" s="12" t="n"/>
      <x:c r="J11" s="12" t="n"/>
      <x:c r="K11" s="12" t="n"/>
      <x:c r="L11" s="12" t="n"/>
      <x:c r="M11" s="12" t="n"/>
      <x:c r="N11" s="12" t="n"/>
    </x:row>
    <x:row r="12" ht="60" customHeight="1">
      <x:c r="A12" s="10" t="n"/>
      <x:c r="B12" s="10" t="n"/>
      <x:c r="C12" s="10" t="n"/>
      <x:c r="D12" s="12" t="n"/>
      <x:c r="E12" s="12" t="n"/>
      <x:c r="F12" s="12" t="n"/>
      <x:c r="G12" s="12" t="n"/>
      <x:c r="H12" s="12" t="n"/>
      <x:c r="I12" s="12" t="n"/>
      <x:c r="J12" s="12" t="n"/>
      <x:c r="K12" s="12" t="n"/>
      <x:c r="L12" s="12" t="n"/>
      <x:c r="M12" s="12" t="n"/>
      <x:c r="N12" s="12" t="n"/>
    </x:row>
    <x:row r="13" ht="60" customHeight="1">
      <x:c r="A13" s="10" t="n"/>
      <x:c r="B13" s="10" t="n"/>
      <x:c r="C13" s="10" t="n"/>
      <x:c r="D13" s="12" t="n"/>
      <x:c r="E13" s="12" t="n"/>
      <x:c r="F13" s="12" t="n"/>
      <x:c r="G13" s="12" t="n"/>
      <x:c r="H13" s="12" t="n"/>
      <x:c r="I13" s="12" t="n"/>
      <x:c r="J13" s="12" t="n"/>
      <x:c r="K13" s="12" t="n"/>
      <x:c r="L13" s="12" t="n"/>
      <x:c r="M13" s="12" t="n"/>
      <x:c r="N13" s="12" t="n"/>
    </x:row>
    <x:row r="14" ht="60" customHeight="1">
      <x:c r="A14" s="10" t="n"/>
      <x:c r="B14" s="10" t="n"/>
      <x:c r="C14" s="10" t="n"/>
      <x:c r="D14" s="12" t="n"/>
      <x:c r="E14" s="12" t="n"/>
      <x:c r="F14" s="12" t="n"/>
      <x:c r="G14" s="12" t="n"/>
      <x:c r="H14" s="12" t="n"/>
      <x:c r="I14" s="12" t="n"/>
      <x:c r="J14" s="12" t="n"/>
      <x:c r="K14" s="12" t="n"/>
      <x:c r="L14" s="12" t="n"/>
      <x:c r="M14" s="12" t="n"/>
      <x:c r="N14" s="12" t="n"/>
    </x:row>
    <x:row r="15" ht="60" customHeight="1">
      <x:c r="A15" s="10" t="n"/>
      <x:c r="B15" s="10" t="n"/>
      <x:c r="C15" s="10" t="n"/>
      <x:c r="D15" s="12" t="n"/>
      <x:c r="E15" s="12" t="n"/>
      <x:c r="F15" s="12" t="n"/>
      <x:c r="G15" s="12" t="n"/>
      <x:c r="H15" s="12" t="n"/>
      <x:c r="I15" s="12" t="n"/>
      <x:c r="J15" s="12" t="n"/>
      <x:c r="K15" s="12" t="n"/>
      <x:c r="L15" s="12" t="n"/>
      <x:c r="M15" s="12" t="n"/>
      <x:c r="N15" s="12" t="n"/>
    </x:row>
  </x:sheetData>
  <x:mergeCells>
    <x:mergeCell ref="A4:N4"/>
    <x:mergeCell ref="A2:N2"/>
    <x:mergeCell ref="A1:N1"/>
  </x:mergeCells>
  <x:dataValidations count="2">
    <x:dataValidation type="list" allowBlank="1" showDropDown="0" showInputMessage="0" showErrorMessage="0" sqref="B6:B15 E6:E36 L6:L15 N15:N19 O6:O10">
      <x:formula1>=lists!$D$1:$D$2</x:formula1>
    </x:dataValidation>
    <x:dataValidation type="list" allowBlank="1" showDropDown="0" showInputMessage="0" showErrorMessage="0" sqref="B6:B15 E6:E36 L6:L15 N15:N19 O6:O10">
      <x:formula1>=lists!$D$1:$D$2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6" customWidth="1"/>
    <x:col min="3" max="3" width="32" customWidth="1"/>
    <x:col min="4" max="4" width="24" customWidth="1"/>
    <x:col min="5" max="5" width="12" customWidth="1"/>
    <x:col min="6" max="6" width="24" customWidth="1"/>
  </x:cols>
  <x:sheetData>
    <x:row r="1" ht="24" customHeight="1">
      <x:c r="A1" s="1" t="inlineStr">
        <x:is>
          <x:t xml:space="preserve">实验配置记录（论文默认值 vs 实际值）</x:t>
        </x:is>
      </x:c>
    </x:row>
    <x:row r="2">
      <x:c r="A2" s="2" t="inlineStr">
        <x:is>
          <x:t xml:space="preserve">C列已预置论文第5章中出现的默认值/参考值；D列请填写你最终真实使用的值。若实际值与默认值一致，也建议仍填写一次，后续写作更稳妥。</x:t>
        </x:is>
      </x:c>
    </x:row>
    <x:row r="4" ht="22" customHeight="1">
      <x:c r="A4" s="3" t="inlineStr">
        <x:is>
          <x:t xml:space="preserve">配置清单</x:t>
        </x:is>
      </x:c>
    </x:row>
    <x:row r="5">
      <x:c r="A5" s="8" t="inlineStr">
        <x:is>
          <x:t xml:space="preserve">类别</x:t>
        </x:is>
      </x:c>
      <x:c r="B5" s="8" t="inlineStr">
        <x:is>
          <x:t xml:space="preserve">字段</x:t>
        </x:is>
      </x:c>
      <x:c r="C5" s="8" t="inlineStr">
        <x:is>
          <x:t xml:space="preserve">论文默认值/参考值</x:t>
        </x:is>
      </x:c>
      <x:c r="D5" s="8" t="inlineStr">
        <x:is>
          <x:t xml:space="preserve">实际值（请填）</x:t>
        </x:is>
      </x:c>
      <x:c r="E5" s="8" t="inlineStr">
        <x:is>
          <x:t xml:space="preserve">是否与默认一致</x:t>
        </x:is>
      </x:c>
      <x:c r="F5" s="8" t="inlineStr">
        <x:is>
          <x:t xml:space="preserve">备注</x:t>
        </x:is>
      </x:c>
    </x:row>
    <x:row r="6">
      <x:c r="A6" s="9" t="inlineStr">
        <x:is>
          <x:t xml:space="preserve">数据集</x:t>
        </x:is>
      </x:c>
      <x:c r="B6" s="9" t="inlineStr">
        <x:is>
          <x:t xml:space="preserve">总样本数</x:t>
        </x:is>
      </x:c>
      <x:c r="C6" s="9" t="inlineStr">
        <x:is>
          <x:t xml:space="preserve">10647</x:t>
        </x:is>
      </x:c>
      <x:c r="D6" s="10" t="inlineStr">
        <x:is>
          <x:t xml:space="preserve"/>
        </x:is>
      </x:c>
      <x:c r="E6" s="15" t="inlineStr">
        <x:is>
          <x:t xml:space="preserve"/>
        </x:is>
      </x:c>
      <x:c r="F6" s="12" t="inlineStr">
        <x:is>
          <x:t xml:space="preserve"/>
        </x:is>
      </x:c>
      <x:c r="G6" s="13" t="n"/>
      <x:c r="H6" s="13" t="n"/>
      <x:c r="I6" s="13" t="n"/>
      <x:c r="J6" s="13" t="n"/>
    </x:row>
    <x:row r="7">
      <x:c r="A7" s="9" t="inlineStr">
        <x:is>
          <x:t xml:space="preserve">数据集</x:t>
        </x:is>
      </x:c>
      <x:c r="B7" s="9" t="inlineStr">
        <x:is>
          <x:t xml:space="preserve">总三元组数</x:t>
        </x:is>
      </x:c>
      <x:c r="C7" s="9" t="inlineStr">
        <x:is>
          <x:t xml:space="preserve">31556</x:t>
        </x:is>
      </x:c>
      <x:c r="D7" s="10" t="inlineStr">
        <x:is>
          <x:t xml:space="preserve"/>
        </x:is>
      </x:c>
      <x:c r="E7" s="15" t="inlineStr">
        <x:is>
          <x:t xml:space="preserve"/>
        </x:is>
      </x:c>
      <x:c r="F7" s="12" t="inlineStr">
        <x:is>
          <x:t xml:space="preserve"/>
        </x:is>
      </x:c>
      <x:c r="G7" s="13" t="n"/>
      <x:c r="H7" s="13" t="n"/>
      <x:c r="I7" s="13" t="n"/>
      <x:c r="J7" s="13" t="n"/>
    </x:row>
    <x:row r="8">
      <x:c r="A8" s="9" t="inlineStr">
        <x:is>
          <x:t xml:space="preserve">数据集</x:t>
        </x:is>
      </x:c>
      <x:c r="B8" s="9" t="inlineStr">
        <x:is>
          <x:t xml:space="preserve">测试集样本数</x:t>
        </x:is>
      </x:c>
      <x:c r="C8" s="9" t="inlineStr">
        <x:is>
          <x:t xml:space="preserve">1000</x:t>
        </x:is>
      </x:c>
      <x:c r="D8" s="10" t="inlineStr">
        <x:is>
          <x:t xml:space="preserve"/>
        </x:is>
      </x:c>
      <x:c r="E8" s="15" t="inlineStr">
        <x:is>
          <x:t xml:space="preserve"/>
        </x:is>
      </x:c>
      <x:c r="F8" s="12" t="inlineStr">
        <x:is>
          <x:t xml:space="preserve"/>
        </x:is>
      </x:c>
      <x:c r="G8" s="13" t="n"/>
      <x:c r="H8" s="13" t="n"/>
      <x:c r="I8" s="13" t="n"/>
      <x:c r="J8" s="13" t="n"/>
    </x:row>
    <x:row r="9">
      <x:c r="A9" s="9" t="inlineStr">
        <x:is>
          <x:t xml:space="preserve">数据集</x:t>
        </x:is>
      </x:c>
      <x:c r="B9" s="9" t="inlineStr">
        <x:is>
          <x:t xml:space="preserve">剩余数据划分</x:t>
        </x:is>
      </x:c>
      <x:c r="C9" s="9" t="inlineStr">
        <x:is>
          <x:t xml:space="preserve">8:2（训练:评估）</x:t>
        </x:is>
      </x:c>
      <x:c r="D9" s="10" t="inlineStr">
        <x:is>
          <x:t xml:space="preserve"/>
        </x:is>
      </x:c>
      <x:c r="E9" s="15" t="inlineStr">
        <x:is>
          <x:t xml:space="preserve"/>
        </x:is>
      </x:c>
      <x:c r="F9" s="12" t="inlineStr">
        <x:is>
          <x:t xml:space="preserve"/>
        </x:is>
      </x:c>
      <x:c r="G9" s="13" t="n"/>
      <x:c r="H9" s="13" t="n"/>
      <x:c r="I9" s="13" t="n"/>
      <x:c r="J9" s="13" t="n"/>
    </x:row>
    <x:row r="10">
      <x:c r="A10" s="9" t="inlineStr">
        <x:is>
          <x:t xml:space="preserve">模型</x:t>
        </x:is>
      </x:c>
      <x:c r="B10" s="9" t="inlineStr">
        <x:is>
          <x:t xml:space="preserve">基座模型</x:t>
        </x:is>
      </x:c>
      <x:c r="C10" s="9" t="inlineStr">
        <x:is>
          <x:t xml:space="preserve">DeepSeek-R1-Distill-Qwen-32B</x:t>
        </x:is>
      </x:c>
      <x:c r="D10" s="10" t="inlineStr">
        <x:is>
          <x:t xml:space="preserve"/>
        </x:is>
      </x:c>
      <x:c r="E10" s="15" t="inlineStr">
        <x:is>
          <x:t xml:space="preserve"/>
        </x:is>
      </x:c>
      <x:c r="F10" s="12" t="inlineStr">
        <x:is>
          <x:t xml:space="preserve"/>
        </x:is>
      </x:c>
      <x:c r="G10" s="13" t="n"/>
      <x:c r="H10" s="13" t="n"/>
      <x:c r="I10" s="13" t="n"/>
      <x:c r="J10" s="13" t="n"/>
    </x:row>
    <x:row r="11">
      <x:c r="A11" s="9" t="inlineStr">
        <x:is>
          <x:t xml:space="preserve">硬件</x:t>
        </x:is>
      </x:c>
      <x:c r="B11" s="9" t="inlineStr">
        <x:is>
          <x:t xml:space="preserve">GPU</x:t>
        </x:is>
      </x:c>
      <x:c r="C11" s="9" t="inlineStr">
        <x:is>
          <x:t xml:space="preserve">NVIDIA RTX 4090</x:t>
        </x:is>
      </x:c>
      <x:c r="D11" s="10" t="inlineStr">
        <x:is>
          <x:t xml:space="preserve"/>
        </x:is>
      </x:c>
      <x:c r="E11" s="15" t="inlineStr">
        <x:is>
          <x:t xml:space="preserve"/>
        </x:is>
      </x:c>
      <x:c r="F11" s="12" t="inlineStr">
        <x:is>
          <x:t xml:space="preserve"/>
        </x:is>
      </x:c>
      <x:c r="G11" s="13" t="n"/>
      <x:c r="H11" s="13" t="n"/>
      <x:c r="I11" s="13" t="n"/>
      <x:c r="J11" s="13" t="n"/>
    </x:row>
    <x:row r="12">
      <x:c r="A12" s="9" t="inlineStr">
        <x:is>
          <x:t xml:space="preserve">硬件</x:t>
        </x:is>
      </x:c>
      <x:c r="B12" s="9" t="inlineStr">
        <x:is>
          <x:t xml:space="preserve">CPU</x:t>
        </x:is>
      </x:c>
      <x:c r="C12" s="9" t="inlineStr">
        <x:is>
          <x:t xml:space="preserve">Intel Xeon Gold 6430</x:t>
        </x:is>
      </x:c>
      <x:c r="D12" s="10" t="inlineStr">
        <x:is>
          <x:t xml:space="preserve"/>
        </x:is>
      </x:c>
      <x:c r="E12" s="15" t="inlineStr">
        <x:is>
          <x:t xml:space="preserve"/>
        </x:is>
      </x:c>
      <x:c r="F12" s="12" t="inlineStr">
        <x:is>
          <x:t xml:space="preserve"/>
        </x:is>
      </x:c>
      <x:c r="G12" s="13" t="n"/>
      <x:c r="H12" s="13" t="n"/>
      <x:c r="I12" s="13" t="n"/>
      <x:c r="J12" s="13" t="n"/>
    </x:row>
    <x:row r="13">
      <x:c r="A13" s="9" t="inlineStr">
        <x:is>
          <x:t xml:space="preserve">硬件</x:t>
        </x:is>
      </x:c>
      <x:c r="B13" s="9" t="inlineStr">
        <x:is>
          <x:t xml:space="preserve">内存</x:t>
        </x:is>
      </x:c>
      <x:c r="C13" s="9" t="inlineStr">
        <x:is>
          <x:t xml:space="preserve">120GB</x:t>
        </x:is>
      </x:c>
      <x:c r="D13" s="10" t="inlineStr">
        <x:is>
          <x:t xml:space="preserve"/>
        </x:is>
      </x:c>
      <x:c r="E13" s="15" t="inlineStr">
        <x:is>
          <x:t xml:space="preserve"/>
        </x:is>
      </x:c>
      <x:c r="F13" s="12" t="inlineStr">
        <x:is>
          <x:t xml:space="preserve"/>
        </x:is>
      </x:c>
      <x:c r="G13" s="13" t="n"/>
      <x:c r="H13" s="13" t="n"/>
      <x:c r="I13" s="13" t="n"/>
      <x:c r="J13" s="13" t="n"/>
    </x:row>
    <x:row r="14">
      <x:c r="A14" s="9" t="inlineStr">
        <x:is>
          <x:t xml:space="preserve">硬件</x:t>
        </x:is>
      </x:c>
      <x:c r="B14" s="9" t="inlineStr">
        <x:is>
          <x:t xml:space="preserve">存储</x:t>
        </x:is>
      </x:c>
      <x:c r="C14" s="9" t="inlineStr">
        <x:is>
          <x:t xml:space="preserve">200GB SSD</x:t>
        </x:is>
      </x:c>
      <x:c r="D14" s="10" t="inlineStr">
        <x:is>
          <x:t xml:space="preserve"/>
        </x:is>
      </x:c>
      <x:c r="E14" s="15" t="inlineStr">
        <x:is>
          <x:t xml:space="preserve"/>
        </x:is>
      </x:c>
      <x:c r="F14" s="12" t="inlineStr">
        <x:is>
          <x:t xml:space="preserve"/>
        </x:is>
      </x:c>
      <x:c r="G14" s="13" t="n"/>
      <x:c r="H14" s="13" t="n"/>
      <x:c r="I14" s="13" t="n"/>
      <x:c r="J14" s="13" t="n"/>
    </x:row>
    <x:row r="15">
      <x:c r="A15" s="9" t="inlineStr">
        <x:is>
          <x:t xml:space="preserve">软件</x:t>
        </x:is>
      </x:c>
      <x:c r="B15" s="9" t="inlineStr">
        <x:is>
          <x:t xml:space="preserve">操作系统</x:t>
        </x:is>
      </x:c>
      <x:c r="C15" s="9" t="inlineStr">
        <x:is>
          <x:t xml:space="preserve">Ubuntu 22.04 LTS</x:t>
        </x:is>
      </x:c>
      <x:c r="D15" s="10" t="inlineStr">
        <x:is>
          <x:t xml:space="preserve"/>
        </x:is>
      </x:c>
      <x:c r="E15" s="15" t="inlineStr">
        <x:is>
          <x:t xml:space="preserve"/>
        </x:is>
      </x:c>
      <x:c r="F15" s="12" t="inlineStr">
        <x:is>
          <x:t xml:space="preserve"/>
        </x:is>
      </x:c>
      <x:c r="G15" s="13" t="n"/>
      <x:c r="H15" s="13" t="n"/>
      <x:c r="I15" s="13" t="n"/>
      <x:c r="J15" s="13" t="n"/>
    </x:row>
    <x:row r="16">
      <x:c r="A16" s="9" t="inlineStr">
        <x:is>
          <x:t xml:space="preserve">软件</x:t>
        </x:is>
      </x:c>
      <x:c r="B16" s="9" t="inlineStr">
        <x:is>
          <x:t xml:space="preserve">CUDA</x:t>
        </x:is>
      </x:c>
      <x:c r="C16" s="9" t="inlineStr">
        <x:is>
          <x:t xml:space="preserve">11.8</x:t>
        </x:is>
      </x:c>
      <x:c r="D16" s="10" t="inlineStr">
        <x:is>
          <x:t xml:space="preserve"/>
        </x:is>
      </x:c>
      <x:c r="E16" s="15" t="inlineStr">
        <x:is>
          <x:t xml:space="preserve"/>
        </x:is>
      </x:c>
      <x:c r="F16" s="12" t="inlineStr">
        <x:is>
          <x:t xml:space="preserve"/>
        </x:is>
      </x:c>
      <x:c r="G16" s="13" t="n"/>
      <x:c r="H16" s="13" t="n"/>
      <x:c r="I16" s="13" t="n"/>
      <x:c r="J16" s="13" t="n"/>
    </x:row>
    <x:row r="17">
      <x:c r="A17" s="9" t="inlineStr">
        <x:is>
          <x:t xml:space="preserve">软件</x:t>
        </x:is>
      </x:c>
      <x:c r="B17" s="9" t="inlineStr">
        <x:is>
          <x:t xml:space="preserve">PyTorch / Python</x:t>
        </x:is>
      </x:c>
      <x:c r="C17" s="9" t="inlineStr">
        <x:is>
          <x:t xml:space="preserve">PyTorch 2.1.2 / Python 3.10</x:t>
        </x:is>
      </x:c>
      <x:c r="D17" s="10" t="inlineStr">
        <x:is>
          <x:t xml:space="preserve"/>
        </x:is>
      </x:c>
      <x:c r="E17" s="15" t="inlineStr">
        <x:is>
          <x:t xml:space="preserve"/>
        </x:is>
      </x:c>
      <x:c r="F17" s="12" t="inlineStr">
        <x:is>
          <x:t xml:space="preserve"/>
        </x:is>
      </x:c>
      <x:c r="G17" s="13" t="n"/>
      <x:c r="H17" s="13" t="n"/>
      <x:c r="I17" s="13" t="n"/>
      <x:c r="J17" s="13" t="n"/>
    </x:row>
    <x:row r="18">
      <x:c r="A18" s="9" t="inlineStr">
        <x:is>
          <x:t xml:space="preserve">训练</x:t>
        </x:is>
      </x:c>
      <x:c r="B18" s="9" t="inlineStr">
        <x:is>
          <x:t xml:space="preserve">batch_size</x:t>
        </x:is>
      </x:c>
      <x:c r="C18" s="9" t="inlineStr">
        <x:is>
          <x:t xml:space="preserve">16</x:t>
        </x:is>
      </x:c>
      <x:c r="D18" s="10" t="inlineStr">
        <x:is>
          <x:t xml:space="preserve"/>
        </x:is>
      </x:c>
      <x:c r="E18" s="15" t="inlineStr">
        <x:is>
          <x:t xml:space="preserve"/>
        </x:is>
      </x:c>
      <x:c r="F18" s="12" t="inlineStr">
        <x:is>
          <x:t xml:space="preserve"/>
        </x:is>
      </x:c>
      <x:c r="G18" s="13" t="n"/>
      <x:c r="H18" s="13" t="n"/>
      <x:c r="I18" s="13" t="n"/>
      <x:c r="J18" s="13" t="n"/>
    </x:row>
    <x:row r="19">
      <x:c r="A19" s="9" t="inlineStr">
        <x:is>
          <x:t xml:space="preserve">训练</x:t>
        </x:is>
      </x:c>
      <x:c r="B19" s="9" t="inlineStr">
        <x:is>
          <x:t xml:space="preserve">gradient_accumulation_steps</x:t>
        </x:is>
      </x:c>
      <x:c r="C19" s="9" t="inlineStr">
        <x:is>
          <x:t xml:space="preserve">8</x:t>
        </x:is>
      </x:c>
      <x:c r="D19" s="10" t="inlineStr">
        <x:is>
          <x:t xml:space="preserve"/>
        </x:is>
      </x:c>
      <x:c r="E19" s="15" t="inlineStr">
        <x:is>
          <x:t xml:space="preserve"/>
        </x:is>
      </x:c>
      <x:c r="F19" s="12" t="inlineStr">
        <x:is>
          <x:t xml:space="preserve"/>
        </x:is>
      </x:c>
      <x:c r="G19" s="13" t="n"/>
      <x:c r="H19" s="13" t="n"/>
      <x:c r="I19" s="13" t="n"/>
      <x:c r="J19" s="13" t="n"/>
    </x:row>
    <x:row r="20">
      <x:c r="A20" s="9" t="inlineStr">
        <x:is>
          <x:t xml:space="preserve">训练</x:t>
        </x:is>
      </x:c>
      <x:c r="B20" s="9" t="inlineStr">
        <x:is>
          <x:t xml:space="preserve">epochs</x:t>
        </x:is>
      </x:c>
      <x:c r="C20" s="9" t="inlineStr">
        <x:is>
          <x:t xml:space="preserve">3</x:t>
        </x:is>
      </x:c>
      <x:c r="D20" s="10" t="inlineStr">
        <x:is>
          <x:t xml:space="preserve"/>
        </x:is>
      </x:c>
      <x:c r="E20" s="15" t="inlineStr">
        <x:is>
          <x:t xml:space="preserve"/>
        </x:is>
      </x:c>
      <x:c r="F20" s="12" t="inlineStr">
        <x:is>
          <x:t xml:space="preserve"/>
        </x:is>
      </x:c>
      <x:c r="G20" s="13" t="n"/>
      <x:c r="H20" s="13" t="n"/>
      <x:c r="I20" s="13" t="n"/>
      <x:c r="J20" s="13" t="n"/>
    </x:row>
    <x:row r="21">
      <x:c r="A21" s="9" t="inlineStr">
        <x:is>
          <x:t xml:space="preserve">训练</x:t>
        </x:is>
      </x:c>
      <x:c r="B21" s="9" t="inlineStr">
        <x:is>
          <x:t xml:space="preserve">learning_rate</x:t>
        </x:is>
      </x:c>
      <x:c r="C21" s="9" t="inlineStr">
        <x:is>
          <x:t xml:space="preserve">1e-5</x:t>
        </x:is>
      </x:c>
      <x:c r="D21" s="10" t="inlineStr">
        <x:is>
          <x:t xml:space="preserve"/>
        </x:is>
      </x:c>
      <x:c r="E21" s="15" t="inlineStr">
        <x:is>
          <x:t xml:space="preserve"/>
        </x:is>
      </x:c>
      <x:c r="F21" s="12" t="inlineStr">
        <x:is>
          <x:t xml:space="preserve"/>
        </x:is>
      </x:c>
      <x:c r="G21" s="13" t="n"/>
      <x:c r="H21" s="13" t="n"/>
      <x:c r="I21" s="13" t="n"/>
      <x:c r="J21" s="13" t="n"/>
    </x:row>
    <x:row r="22">
      <x:c r="A22" s="9" t="inlineStr">
        <x:is>
          <x:t xml:space="preserve">训练</x:t>
        </x:is>
      </x:c>
      <x:c r="B22" s="9" t="inlineStr">
        <x:is>
          <x:t xml:space="preserve">weight_decay</x:t>
        </x:is>
      </x:c>
      <x:c r="C22" s="9" t="inlineStr">
        <x:is>
          <x:t xml:space="preserve">5e-4</x:t>
        </x:is>
      </x:c>
      <x:c r="D22" s="10" t="inlineStr">
        <x:is>
          <x:t xml:space="preserve"/>
        </x:is>
      </x:c>
      <x:c r="E22" s="15" t="inlineStr">
        <x:is>
          <x:t xml:space="preserve"/>
        </x:is>
      </x:c>
      <x:c r="F22" s="12" t="inlineStr">
        <x:is>
          <x:t xml:space="preserve"/>
        </x:is>
      </x:c>
      <x:c r="G22" s="13" t="n"/>
      <x:c r="H22" s="13" t="n"/>
      <x:c r="I22" s="13" t="n"/>
      <x:c r="J22" s="13" t="n"/>
    </x:row>
    <x:row r="23">
      <x:c r="A23" s="9" t="inlineStr">
        <x:is>
          <x:t xml:space="preserve">训练</x:t>
        </x:is>
      </x:c>
      <x:c r="B23" s="9" t="inlineStr">
        <x:is>
          <x:t xml:space="preserve">adam_beta2</x:t>
        </x:is>
      </x:c>
      <x:c r="C23" s="9" t="inlineStr">
        <x:is>
          <x:t xml:space="preserve">0.92</x:t>
        </x:is>
      </x:c>
      <x:c r="D23" s="10" t="inlineStr">
        <x:is>
          <x:t xml:space="preserve"/>
        </x:is>
      </x:c>
      <x:c r="E23" s="15" t="inlineStr">
        <x:is>
          <x:t xml:space="preserve"/>
        </x:is>
      </x:c>
      <x:c r="F23" s="12" t="inlineStr">
        <x:is>
          <x:t xml:space="preserve"/>
        </x:is>
      </x:c>
      <x:c r="G23" s="13" t="n"/>
      <x:c r="H23" s="13" t="n"/>
      <x:c r="I23" s="13" t="n"/>
      <x:c r="J23" s="13" t="n"/>
    </x:row>
    <x:row r="24">
      <x:c r="A24" s="9" t="inlineStr">
        <x:is>
          <x:t xml:space="preserve">训练</x:t>
        </x:is>
      </x:c>
      <x:c r="B24" s="9" t="inlineStr">
        <x:is>
          <x:t xml:space="preserve">optimizer</x:t>
        </x:is>
      </x:c>
      <x:c r="C24" s="9" t="inlineStr">
        <x:is>
          <x:t xml:space="preserve">AdamW</x:t>
        </x:is>
      </x:c>
      <x:c r="D24" s="10" t="inlineStr">
        <x:is>
          <x:t xml:space="preserve"/>
        </x:is>
      </x:c>
      <x:c r="E24" s="15" t="inlineStr">
        <x:is>
          <x:t xml:space="preserve"/>
        </x:is>
      </x:c>
      <x:c r="F24" s="12" t="inlineStr">
        <x:is>
          <x:t xml:space="preserve"/>
        </x:is>
      </x:c>
      <x:c r="G24" s="13" t="n"/>
      <x:c r="H24" s="13" t="n"/>
      <x:c r="I24" s="13" t="n"/>
      <x:c r="J24" s="13" t="n"/>
    </x:row>
    <x:row r="25">
      <x:c r="A25" s="9" t="inlineStr">
        <x:is>
          <x:t xml:space="preserve">训练</x:t>
        </x:is>
      </x:c>
      <x:c r="B25" s="9" t="inlineStr">
        <x:is>
          <x:t xml:space="preserve">max_source_length</x:t>
        </x:is>
      </x:c>
      <x:c r="C25" s="9" t="inlineStr">
        <x:is>
          <x:t xml:space="preserve">1024</x:t>
        </x:is>
      </x:c>
      <x:c r="D25" s="10" t="inlineStr">
        <x:is>
          <x:t xml:space="preserve"/>
        </x:is>
      </x:c>
      <x:c r="E25" s="15" t="inlineStr">
        <x:is>
          <x:t xml:space="preserve"/>
        </x:is>
      </x:c>
      <x:c r="F25" s="12" t="inlineStr">
        <x:is>
          <x:t xml:space="preserve"/>
        </x:is>
      </x:c>
      <x:c r="G25" s="13" t="n"/>
      <x:c r="H25" s="13" t="n"/>
      <x:c r="I25" s="13" t="n"/>
      <x:c r="J25" s="13" t="n"/>
    </x:row>
    <x:row r="26">
      <x:c r="A26" s="9" t="inlineStr">
        <x:is>
          <x:t xml:space="preserve">训练</x:t>
        </x:is>
      </x:c>
      <x:c r="B26" s="9" t="inlineStr">
        <x:is>
          <x:t xml:space="preserve">max_target_length</x:t>
        </x:is>
      </x:c>
      <x:c r="C26" s="9" t="inlineStr">
        <x:is>
          <x:t xml:space="preserve">512</x:t>
        </x:is>
      </x:c>
      <x:c r="D26" s="10" t="inlineStr">
        <x:is>
          <x:t xml:space="preserve"/>
        </x:is>
      </x:c>
      <x:c r="E26" s="15" t="inlineStr">
        <x:is>
          <x:t xml:space="preserve"/>
        </x:is>
      </x:c>
      <x:c r="F26" s="12" t="inlineStr">
        <x:is>
          <x:t xml:space="preserve"/>
        </x:is>
      </x:c>
      <x:c r="G26" s="13" t="n"/>
      <x:c r="H26" s="13" t="n"/>
      <x:c r="I26" s="13" t="n"/>
      <x:c r="J26" s="13" t="n"/>
    </x:row>
    <x:row r="27">
      <x:c r="A27" s="9" t="inlineStr">
        <x:is>
          <x:t xml:space="preserve">训练</x:t>
        </x:is>
      </x:c>
      <x:c r="B27" s="9" t="inlineStr">
        <x:is>
          <x:t xml:space="preserve">lora_r</x:t>
        </x:is>
      </x:c>
      <x:c r="C27" s="9" t="inlineStr">
        <x:is>
          <x:t xml:space="preserve">8</x:t>
        </x:is>
      </x:c>
      <x:c r="D27" s="10" t="inlineStr">
        <x:is>
          <x:t xml:space="preserve"/>
        </x:is>
      </x:c>
      <x:c r="E27" s="15" t="inlineStr">
        <x:is>
          <x:t xml:space="preserve"/>
        </x:is>
      </x:c>
      <x:c r="F27" s="12" t="inlineStr">
        <x:is>
          <x:t xml:space="preserve"/>
        </x:is>
      </x:c>
      <x:c r="G27" s="13" t="n"/>
      <x:c r="H27" s="13" t="n"/>
      <x:c r="I27" s="13" t="n"/>
      <x:c r="J27" s="13" t="n"/>
    </x:row>
    <x:row r="28">
      <x:c r="A28" s="9" t="inlineStr">
        <x:is>
          <x:t xml:space="preserve">训练</x:t>
        </x:is>
      </x:c>
      <x:c r="B28" s="9" t="inlineStr">
        <x:is>
          <x:t xml:space="preserve">lora_alpha</x:t>
        </x:is>
      </x:c>
      <x:c r="C28" s="9" t="inlineStr">
        <x:is>
          <x:t xml:space="preserve">32</x:t>
        </x:is>
      </x:c>
      <x:c r="D28" s="10" t="inlineStr">
        <x:is>
          <x:t xml:space="preserve"/>
        </x:is>
      </x:c>
      <x:c r="E28" s="15" t="inlineStr">
        <x:is>
          <x:t xml:space="preserve"/>
        </x:is>
      </x:c>
      <x:c r="F28" s="12" t="inlineStr">
        <x:is>
          <x:t xml:space="preserve"/>
        </x:is>
      </x:c>
      <x:c r="G28" s="13" t="n"/>
      <x:c r="H28" s="13" t="n"/>
      <x:c r="I28" s="13" t="n"/>
      <x:c r="J28" s="13" t="n"/>
    </x:row>
    <x:row r="29">
      <x:c r="A29" s="9" t="inlineStr">
        <x:is>
          <x:t xml:space="preserve">训练</x:t>
        </x:is>
      </x:c>
      <x:c r="B29" s="9" t="inlineStr">
        <x:is>
          <x:t xml:space="preserve">lora_dropout</x:t>
        </x:is>
      </x:c>
      <x:c r="C29" s="9" t="inlineStr">
        <x:is>
          <x:t xml:space="preserve">0.1</x:t>
        </x:is>
      </x:c>
      <x:c r="D29" s="10" t="inlineStr">
        <x:is>
          <x:t xml:space="preserve"/>
        </x:is>
      </x:c>
      <x:c r="E29" s="15" t="inlineStr">
        <x:is>
          <x:t xml:space="preserve"/>
        </x:is>
      </x:c>
      <x:c r="F29" s="12" t="inlineStr">
        <x:is>
          <x:t xml:space="preserve"/>
        </x:is>
      </x:c>
      <x:c r="G29" s="13" t="n"/>
      <x:c r="H29" s="13" t="n"/>
      <x:c r="I29" s="13" t="n"/>
      <x:c r="J29" s="13" t="n"/>
    </x:row>
    <x:row r="30">
      <x:c r="A30" s="9" t="inlineStr">
        <x:is>
          <x:t xml:space="preserve">推理</x:t>
        </x:is>
      </x:c>
      <x:c r="B30" s="9" t="inlineStr">
        <x:is>
          <x:t xml:space="preserve">temperature</x:t>
        </x:is>
      </x:c>
      <x:c r="C30" s="9" t="inlineStr">
        <x:is>
          <x:t xml:space="preserve">（论文正文未固定写出，建议在此补录）</x:t>
        </x:is>
      </x:c>
      <x:c r="D30" s="10" t="inlineStr">
        <x:is>
          <x:t xml:space="preserve"/>
        </x:is>
      </x:c>
      <x:c r="E30" s="15" t="inlineStr">
        <x:is>
          <x:t xml:space="preserve"/>
        </x:is>
      </x:c>
      <x:c r="F30" s="12" t="inlineStr">
        <x:is>
          <x:t xml:space="preserve"/>
        </x:is>
      </x:c>
      <x:c r="G30" s="13" t="n"/>
      <x:c r="H30" s="13" t="n"/>
      <x:c r="I30" s="13" t="n"/>
      <x:c r="J30" s="13" t="n"/>
    </x:row>
    <x:row r="31">
      <x:c r="A31" s="9" t="inlineStr">
        <x:is>
          <x:t xml:space="preserve">推理</x:t>
        </x:is>
      </x:c>
      <x:c r="B31" s="9" t="inlineStr">
        <x:is>
          <x:t xml:space="preserve">top-p</x:t>
        </x:is>
      </x:c>
      <x:c r="C31" s="9" t="inlineStr">
        <x:is>
          <x:t xml:space="preserve">（论文正文未固定写出，建议在此补录）</x:t>
        </x:is>
      </x:c>
      <x:c r="D31" s="10" t="inlineStr">
        <x:is>
          <x:t xml:space="preserve"/>
        </x:is>
      </x:c>
      <x:c r="E31" s="15" t="inlineStr">
        <x:is>
          <x:t xml:space="preserve"/>
        </x:is>
      </x:c>
      <x:c r="F31" s="12" t="inlineStr">
        <x:is>
          <x:t xml:space="preserve"/>
        </x:is>
      </x:c>
      <x:c r="G31" s="13" t="n"/>
      <x:c r="H31" s="13" t="n"/>
      <x:c r="I31" s="13" t="n"/>
      <x:c r="J31" s="13" t="n"/>
    </x:row>
    <x:row r="32">
      <x:c r="A32" s="9" t="inlineStr">
        <x:is>
          <x:t xml:space="preserve">推理</x:t>
        </x:is>
      </x:c>
      <x:c r="B32" s="9" t="inlineStr">
        <x:is>
          <x:t xml:space="preserve">候选数 K</x:t>
        </x:is>
      </x:c>
      <x:c r="C32" s="9" t="inlineStr">
        <x:is>
          <x:t xml:space="preserve">（需与你最终实验一致）</x:t>
        </x:is>
      </x:c>
      <x:c r="D32" s="10" t="inlineStr">
        <x:is>
          <x:t xml:space="preserve"/>
        </x:is>
      </x:c>
      <x:c r="E32" s="15" t="inlineStr">
        <x:is>
          <x:t xml:space="preserve"/>
        </x:is>
      </x:c>
      <x:c r="F32" s="12" t="inlineStr">
        <x:is>
          <x:t xml:space="preserve"/>
        </x:is>
      </x:c>
      <x:c r="G32" s="13" t="n"/>
      <x:c r="H32" s="13" t="n"/>
      <x:c r="I32" s="13" t="n"/>
      <x:c r="J32" s="13" t="n"/>
    </x:row>
    <x:row r="33">
      <x:c r="A33" s="9" t="inlineStr">
        <x:is>
          <x:t xml:space="preserve">评分</x:t>
        </x:is>
      </x:c>
      <x:c r="B33" s="9" t="inlineStr">
        <x:is>
          <x:t xml:space="preserve">α</x:t>
        </x:is>
      </x:c>
      <x:c r="C33" s="9" t="inlineStr">
        <x:is>
          <x:t xml:space="preserve">（需与你最终实验一致）</x:t>
        </x:is>
      </x:c>
      <x:c r="D33" s="10" t="inlineStr">
        <x:is>
          <x:t xml:space="preserve"/>
        </x:is>
      </x:c>
      <x:c r="E33" s="15" t="inlineStr">
        <x:is>
          <x:t xml:space="preserve"/>
        </x:is>
      </x:c>
      <x:c r="F33" s="12" t="inlineStr">
        <x:is>
          <x:t xml:space="preserve"/>
        </x:is>
      </x:c>
      <x:c r="G33" s="13" t="n"/>
      <x:c r="H33" s="13" t="n"/>
      <x:c r="I33" s="13" t="n"/>
      <x:c r="J33" s="13" t="n"/>
    </x:row>
    <x:row r="34">
      <x:c r="A34" s="9" t="inlineStr">
        <x:is>
          <x:t xml:space="preserve">评分</x:t>
        </x:is>
      </x:c>
      <x:c r="B34" s="9" t="inlineStr">
        <x:is>
          <x:t xml:space="preserve">β</x:t>
        </x:is>
      </x:c>
      <x:c r="C34" s="9" t="inlineStr">
        <x:is>
          <x:t xml:space="preserve">（需与你最终实验一致）</x:t>
        </x:is>
      </x:c>
      <x:c r="D34" s="10" t="inlineStr">
        <x:is>
          <x:t xml:space="preserve"/>
        </x:is>
      </x:c>
      <x:c r="E34" s="15" t="inlineStr">
        <x:is>
          <x:t xml:space="preserve"/>
        </x:is>
      </x:c>
      <x:c r="F34" s="12" t="inlineStr">
        <x:is>
          <x:t xml:space="preserve"/>
        </x:is>
      </x:c>
      <x:c r="G34" s="13" t="n"/>
      <x:c r="H34" s="13" t="n"/>
      <x:c r="I34" s="13" t="n"/>
      <x:c r="J34" s="13" t="n"/>
    </x:row>
    <x:row r="35">
      <x:c r="A35" s="9" t="inlineStr">
        <x:is>
          <x:t xml:space="preserve">评分</x:t>
        </x:is>
      </x:c>
      <x:c r="B35" s="9" t="inlineStr">
        <x:is>
          <x:t xml:space="preserve">γ</x:t>
        </x:is>
      </x:c>
      <x:c r="C35" s="9" t="inlineStr">
        <x:is>
          <x:t xml:space="preserve">（需与你最终实验一致）</x:t>
        </x:is>
      </x:c>
      <x:c r="D35" s="10" t="inlineStr">
        <x:is>
          <x:t xml:space="preserve"/>
        </x:is>
      </x:c>
      <x:c r="E35" s="15" t="inlineStr">
        <x:is>
          <x:t xml:space="preserve"/>
        </x:is>
      </x:c>
      <x:c r="F35" s="12" t="inlineStr">
        <x:is>
          <x:t xml:space="preserve"/>
        </x:is>
      </x:c>
      <x:c r="G35" s="13" t="n"/>
      <x:c r="H35" s="13" t="n"/>
      <x:c r="I35" s="13" t="n"/>
      <x:c r="J35" s="13" t="n"/>
    </x:row>
    <x:row r="36">
      <x:c r="A36" s="9" t="inlineStr">
        <x:is>
          <x:t xml:space="preserve">稳定性评测</x:t>
        </x:is>
      </x:c>
      <x:c r="B36" s="9" t="inlineStr">
        <x:is>
          <x:t xml:space="preserve">固定样本数</x:t>
        </x:is>
      </x:c>
      <x:c r="C36" s="9" t="inlineStr">
        <x:is>
          <x:t xml:space="preserve">100（建议）</x:t>
        </x:is>
      </x:c>
      <x:c r="D36" s="10" t="inlineStr">
        <x:is>
          <x:t xml:space="preserve"/>
        </x:is>
      </x:c>
      <x:c r="E36" s="15" t="inlineStr">
        <x:is>
          <x:t xml:space="preserve"/>
        </x:is>
      </x:c>
      <x:c r="F36" s="12" t="inlineStr">
        <x:is>
          <x:t xml:space="preserve"/>
        </x:is>
      </x:c>
      <x:c r="G36" s="13" t="n"/>
      <x:c r="H36" s="13" t="n"/>
      <x:c r="I36" s="13" t="n"/>
      <x:c r="J36" s="13" t="n"/>
    </x:row>
  </x:sheetData>
  <x:mergeCells>
    <x:mergeCell ref="A1:J1"/>
    <x:mergeCell ref="A4:J4"/>
    <x:mergeCell ref="A2:J2"/>
  </x:mergeCells>
  <x:dataValidations count="1">
    <x:dataValidation type="list" allowBlank="1" showDropDown="0" showInputMessage="0" showErrorMessage="0" sqref="B6:B15 E6:E36 L6:L15 N15:N19 O6:O10">
      <x:formula1>=lists!$D$1:$D$2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Base</x:t>
        </x:is>
      </x:c>
      <x:c r="B1" t="inlineStr">
        <x:is>
          <x:t xml:space="preserve">tested_by</x:t>
        </x:is>
      </x:c>
      <x:c r="C1" t="n">
        <x:v>7455</x:v>
      </x:c>
      <x:c r="D1" t="inlineStr">
        <x:is>
          <x:t xml:space="preserve">是</x:t>
        </x:is>
      </x:c>
      <x:c r="E1" t="inlineStr">
        <x:is>
          <x:t xml:space="preserve">必做</x:t>
        </x:is>
      </x:c>
    </x:row>
    <x:row r="2">
      <x:c r="A2" t="inlineStr">
        <x:is>
          <x:t xml:space="preserve">QLoRA-only</x:t>
        </x:is>
      </x:c>
      <x:c r="B2" t="inlineStr">
        <x:is>
          <x:t xml:space="preserve">provided_by</x:t>
        </x:is>
      </x:c>
      <x:c r="C2" t="n">
        <x:v>4933</x:v>
      </x:c>
      <x:c r="D2" t="inlineStr">
        <x:is>
          <x:t xml:space="preserve">否</x:t>
        </x:is>
      </x:c>
      <x:c r="E2" t="inlineStr">
        <x:is>
          <x:t xml:space="preserve">建议做</x:t>
        </x:is>
      </x:c>
    </x:row>
    <x:row r="3">
      <x:c r="A3" t="inlineStr">
        <x:is>
          <x:t xml:space="preserve">QLoRA+多候选评分(完整方法)</x:t>
        </x:is>
      </x:c>
      <x:c r="B3" t="inlineStr">
        <x:is>
          <x:t xml:space="preserve">provided_to</x:t>
        </x:is>
      </x:c>
      <x:c r="C3" t="n">
        <x:v>5059</x:v>
      </x:c>
      <x:c r="E3" t="inlineStr">
        <x:is>
          <x:t xml:space="preserve">可选</x:t>
        </x:is>
      </x:c>
    </x:row>
    <x:row r="4">
      <x:c r="A4" t="inlineStr">
        <x:is>
          <x:t xml:space="preserve">QLoRA+Ontology</x:t>
        </x:is>
      </x:c>
      <x:c r="B4" t="inlineStr">
        <x:is>
          <x:t xml:space="preserve">deployed_by</x:t>
        </x:is>
      </x:c>
      <x:c r="C4" t="n">
        <x:v>1330</x:v>
      </x:c>
    </x:row>
    <x:row r="5">
      <x:c r="A5" t="inlineStr">
        <x:is>
          <x:t xml:space="preserve">QLoRA+MultiCandidate</x:t>
        </x:is>
      </x:c>
      <x:c r="B5" t="inlineStr">
        <x:is>
          <x:t xml:space="preserve">deployed_to</x:t>
        </x:is>
      </x:c>
      <x:c r="C5" t="n">
        <x:v>1079</x:v>
      </x:c>
    </x:row>
    <x:row r="6">
      <x:c r="A6" t="inlineStr">
        <x:is>
          <x:t xml:space="preserve">Full-无ErrorPenalty</x:t>
        </x:is>
      </x:c>
      <x:c r="B6" t="inlineStr">
        <x:is>
          <x:t xml:space="preserve">equipped_with</x:t>
        </x:is>
      </x:c>
      <x:c r="C6" t="n">
        <x:v>202</x:v>
      </x:c>
    </x:row>
    <x:row r="7">
      <x:c r="A7" t="inlineStr">
        <x:is>
          <x:t xml:space="preserve">Full-无RuleScore</x:t>
        </x:is>
      </x:c>
      <x:c r="B7" t="inlineStr">
        <x:is>
          <x:t xml:space="preserve">targeted_at</x:t>
        </x:is>
      </x:c>
      <x:c r="C7" t="n">
        <x:v>322</x:v>
      </x:c>
    </x:row>
    <x:row r="8">
      <x:c r="A8" t="inlineStr">
        <x:is>
          <x:t xml:space="preserve">自定义</x:t>
        </x:is>
      </x:c>
      <x:c r="B8" t="inlineStr">
        <x:is>
          <x:t xml:space="preserve">incident_with</x:t>
        </x:is>
      </x:c>
      <x:c r="C8" t="n">
        <x:v>56</x:v>
      </x:c>
    </x:row>
    <x:row r="9">
      <x:c r="B9" t="inlineStr">
        <x:is>
          <x:t xml:space="preserve">occurs_at</x:t>
        </x:is>
      </x:c>
      <x:c r="C9" t="n">
        <x:v>3375</x:v>
      </x:c>
    </x:row>
    <x:row r="10">
      <x:c r="B10" t="inlineStr">
        <x:is>
          <x:t xml:space="preserve">occurs_on</x:t>
        </x:is>
      </x:c>
      <x:c r="C10" t="n">
        <x:v>7414</x:v>
      </x:c>
    </x:row>
    <x:row r="11">
      <x:c r="B11" t="inlineStr">
        <x:is>
          <x:t xml:space="preserve">has_count</x:t>
        </x:is>
      </x:c>
      <x:c r="C11" t="n">
        <x:v>331</x:v>
      </x:c>
    </x:row>
  </x:sheetData>
  <x:pageMargins left="0.7" right="0.7" top="0.75" bottom="0.75" header="0.3" footer="0.3"/>
</x:worksheet>
</file>